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13_ncr:1_{5E884C2C-B569-4282-91A8-A3D592E3FF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ndardized" sheetId="2" r:id="rId1"/>
    <sheet name="Ra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2" l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6" i="2"/>
</calcChain>
</file>

<file path=xl/sharedStrings.xml><?xml version="1.0" encoding="utf-8"?>
<sst xmlns="http://schemas.openxmlformats.org/spreadsheetml/2006/main" count="134" uniqueCount="51">
  <si>
    <t>DO2 (mg/L)</t>
  </si>
  <si>
    <t>Start</t>
  </si>
  <si>
    <t>End</t>
  </si>
  <si>
    <t>Mussel MR Lab:</t>
  </si>
  <si>
    <t>Section:</t>
  </si>
  <si>
    <t>Start time</t>
  </si>
  <si>
    <t>End time</t>
  </si>
  <si>
    <t>Volume of water (L)</t>
  </si>
  <si>
    <t>Mussel weight (g)</t>
  </si>
  <si>
    <t>Mussel length (mm)</t>
  </si>
  <si>
    <t>Time</t>
  </si>
  <si>
    <t>Exposure</t>
  </si>
  <si>
    <t>Total experiment duration (min)</t>
  </si>
  <si>
    <t>30 Degrees Air Exposed</t>
  </si>
  <si>
    <t>12 Degrees Air Exposed</t>
  </si>
  <si>
    <t>12 Degrees Control</t>
  </si>
  <si>
    <t>12 Degrees control</t>
  </si>
  <si>
    <t>3:44PM</t>
  </si>
  <si>
    <t>4:38PM</t>
  </si>
  <si>
    <t>3:08PM</t>
  </si>
  <si>
    <t>4:28PM</t>
  </si>
  <si>
    <t>3:21PM</t>
  </si>
  <si>
    <t>3:02pM</t>
  </si>
  <si>
    <t>3:24pm</t>
  </si>
  <si>
    <t>All sections</t>
  </si>
  <si>
    <t>60 min</t>
  </si>
  <si>
    <t>ID</t>
  </si>
  <si>
    <t>61 min</t>
  </si>
  <si>
    <t>60.5 minutes</t>
  </si>
  <si>
    <t>67 minutes</t>
  </si>
  <si>
    <t>Notes</t>
  </si>
  <si>
    <t>3:45PM</t>
  </si>
  <si>
    <t>4:30PM</t>
  </si>
  <si>
    <t>3:00PM</t>
  </si>
  <si>
    <t>2:50PM</t>
  </si>
  <si>
    <t>3:50PM</t>
  </si>
  <si>
    <t>3:03PM</t>
  </si>
  <si>
    <t>4:21PM</t>
  </si>
  <si>
    <t>4:36pm</t>
  </si>
  <si>
    <t>3:31PM</t>
  </si>
  <si>
    <t>4:31PM</t>
  </si>
  <si>
    <t>3:30PM</t>
  </si>
  <si>
    <t>Spawned gametes during experiment</t>
  </si>
  <si>
    <t>3:20PM</t>
  </si>
  <si>
    <t>3:15PM</t>
  </si>
  <si>
    <t>3:35:00PM</t>
  </si>
  <si>
    <t>3:31:00PM</t>
  </si>
  <si>
    <t>3:15:00PM</t>
  </si>
  <si>
    <t>Change in DO2</t>
  </si>
  <si>
    <t>Change in DO2 per minute per gram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</si>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</sst>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h:mm:ss\ AM/P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3" fillId="2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/>
    <xf numFmtId="18" fontId="0" fillId="0" borderId="1" xfId="0" applyNumberFormat="1" applyBorder="1" applyAlignment="1">
      <alignment horizontal="right"/>
    </xf>
    <xf numFmtId="20" fontId="0" fillId="0" borderId="1" xfId="0" applyNumberFormat="1" applyBorder="1" applyAlignment="1">
      <alignment horizontal="right"/>
    </xf>
    <xf numFmtId="19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1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0" fillId="0" borderId="0" xfId="0" applyNumberFormat="1"/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EA87-795C-42B8-ADAC-DF50183C9869}">
  <dimension ref="A1:M28"/>
  <sheetViews>
    <sheetView tabSelected="1" topLeftCell="C1" workbookViewId="0">
      <selection activeCell="I11" sqref="I11"/>
    </sheetView>
  </sheetViews>
  <sheetFormatPr defaultRowHeight="14.4" x14ac:dyDescent="0.3"/>
  <cols>
    <col min="1" max="1" width="14.5546875" customWidth="1"/>
    <col min="2" max="2" width="21.77734375" customWidth="1"/>
    <col min="3" max="3" width="7.21875" customWidth="1"/>
    <col min="4" max="5" width="13.109375" customWidth="1"/>
    <col min="6" max="6" width="17.21875" customWidth="1"/>
    <col min="7" max="7" width="14.5546875" customWidth="1"/>
    <col min="8" max="8" width="17.5546875" customWidth="1"/>
    <col min="9" max="9" width="32.88671875" customWidth="1"/>
    <col min="10" max="10" width="21.88671875" customWidth="1"/>
    <col min="11" max="12" width="18.33203125" customWidth="1"/>
    <col min="13" max="13" width="35.109375" customWidth="1"/>
  </cols>
  <sheetData>
    <row r="1" spans="1:13" ht="18" x14ac:dyDescent="0.35">
      <c r="A1" s="2" t="s">
        <v>3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x14ac:dyDescent="0.35">
      <c r="A2" s="2" t="s">
        <v>4</v>
      </c>
      <c r="B2" s="5" t="s">
        <v>24</v>
      </c>
      <c r="C2" s="5"/>
      <c r="F2" s="1"/>
      <c r="G2" s="1"/>
      <c r="H2" s="1"/>
      <c r="I2" s="1"/>
      <c r="J2" s="1"/>
      <c r="K2" s="1"/>
      <c r="L2" s="1"/>
      <c r="M2" s="1"/>
    </row>
    <row r="3" spans="1:1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3" customFormat="1" ht="18" customHeight="1" x14ac:dyDescent="0.3">
      <c r="A4" s="4"/>
      <c r="B4" s="4"/>
      <c r="C4" s="4"/>
      <c r="D4" s="14" t="s">
        <v>0</v>
      </c>
      <c r="E4" s="14"/>
      <c r="F4" s="14"/>
      <c r="G4" s="15" t="s">
        <v>10</v>
      </c>
      <c r="H4" s="16"/>
      <c r="I4" s="17"/>
      <c r="J4" s="4"/>
      <c r="K4" s="4"/>
      <c r="L4" s="4"/>
      <c r="M4" s="4"/>
    </row>
    <row r="5" spans="1:13" s="3" customFormat="1" ht="18" customHeight="1" x14ac:dyDescent="0.3">
      <c r="A5" s="4" t="s">
        <v>26</v>
      </c>
      <c r="B5" s="4" t="s">
        <v>11</v>
      </c>
      <c r="C5" s="4" t="s">
        <v>30</v>
      </c>
      <c r="D5" s="4" t="s">
        <v>1</v>
      </c>
      <c r="E5" s="4" t="s">
        <v>2</v>
      </c>
      <c r="F5" s="4" t="s">
        <v>48</v>
      </c>
      <c r="G5" s="4" t="s">
        <v>5</v>
      </c>
      <c r="H5" s="4" t="s">
        <v>6</v>
      </c>
      <c r="I5" s="18" t="s">
        <v>12</v>
      </c>
      <c r="J5" s="4" t="s">
        <v>7</v>
      </c>
      <c r="K5" s="4" t="s">
        <v>8</v>
      </c>
      <c r="L5" s="4" t="s">
        <v>9</v>
      </c>
      <c r="M5" s="4" t="s">
        <v>49</v>
      </c>
    </row>
    <row r="6" spans="1:13" x14ac:dyDescent="0.3">
      <c r="A6" s="6">
        <v>2</v>
      </c>
      <c r="B6" s="6" t="s">
        <v>14</v>
      </c>
      <c r="C6" s="6"/>
      <c r="D6" s="7">
        <v>7.69</v>
      </c>
      <c r="E6" s="7">
        <v>7.25</v>
      </c>
      <c r="F6" s="7">
        <f>E6-D6</f>
        <v>-0.44000000000000039</v>
      </c>
      <c r="G6" s="9">
        <v>0.65555555555555556</v>
      </c>
      <c r="H6" s="9" t="s">
        <v>18</v>
      </c>
      <c r="I6" s="19">
        <v>53.67</v>
      </c>
      <c r="J6" s="7">
        <v>1.409</v>
      </c>
      <c r="K6" s="7">
        <v>25.89</v>
      </c>
      <c r="L6" s="7">
        <v>68</v>
      </c>
      <c r="M6" s="7">
        <f>F6 / I6 / K6</f>
        <v>-3.1665695465393269E-4</v>
      </c>
    </row>
    <row r="7" spans="1:13" x14ac:dyDescent="0.3">
      <c r="A7" s="6">
        <v>4</v>
      </c>
      <c r="B7" s="6" t="s">
        <v>14</v>
      </c>
      <c r="C7" s="6"/>
      <c r="D7" s="7">
        <v>7.45</v>
      </c>
      <c r="E7" s="7">
        <v>6.87</v>
      </c>
      <c r="F7" s="7">
        <f t="shared" ref="F7:F28" si="0">E7-D7</f>
        <v>-0.58000000000000007</v>
      </c>
      <c r="G7" s="10" t="s">
        <v>45</v>
      </c>
      <c r="H7" s="8">
        <v>0.69097222222222221</v>
      </c>
      <c r="I7" s="20">
        <v>60</v>
      </c>
      <c r="J7" s="7">
        <v>1.448</v>
      </c>
      <c r="K7" s="7">
        <v>24.73</v>
      </c>
      <c r="L7" s="7">
        <v>74</v>
      </c>
      <c r="M7" s="7">
        <f t="shared" ref="M7:M28" si="1">F7 / I7 / K7</f>
        <v>-3.9088825987329832E-4</v>
      </c>
    </row>
    <row r="8" spans="1:13" x14ac:dyDescent="0.3">
      <c r="A8" s="6">
        <v>7</v>
      </c>
      <c r="B8" s="6" t="s">
        <v>14</v>
      </c>
      <c r="C8" s="6"/>
      <c r="D8" s="7">
        <v>7.48</v>
      </c>
      <c r="E8" s="7">
        <v>6.36</v>
      </c>
      <c r="F8" s="7">
        <f t="shared" si="0"/>
        <v>-1.1200000000000001</v>
      </c>
      <c r="G8" s="9">
        <v>0.64166666666666672</v>
      </c>
      <c r="H8" s="9">
        <v>0.19097222222222221</v>
      </c>
      <c r="I8" s="20">
        <v>66.78</v>
      </c>
      <c r="J8" s="7">
        <v>1.345</v>
      </c>
      <c r="K8" s="7">
        <v>28.43</v>
      </c>
      <c r="L8" s="7">
        <v>74</v>
      </c>
      <c r="M8" s="7">
        <f t="shared" si="1"/>
        <v>-5.8992221138240159E-4</v>
      </c>
    </row>
    <row r="9" spans="1:13" x14ac:dyDescent="0.3">
      <c r="A9" s="6">
        <v>10</v>
      </c>
      <c r="B9" s="6" t="s">
        <v>14</v>
      </c>
      <c r="C9" s="7"/>
      <c r="D9" s="7">
        <v>7.65</v>
      </c>
      <c r="E9" s="7">
        <v>7.38</v>
      </c>
      <c r="F9" s="7">
        <f t="shared" si="0"/>
        <v>-0.27000000000000046</v>
      </c>
      <c r="G9" s="9">
        <v>0.65</v>
      </c>
      <c r="H9" s="9">
        <v>0.69166666666666676</v>
      </c>
      <c r="I9" s="20">
        <v>60</v>
      </c>
      <c r="J9" s="7">
        <v>1.35</v>
      </c>
      <c r="K9" s="7">
        <v>33.96</v>
      </c>
      <c r="L9" s="7">
        <v>77</v>
      </c>
      <c r="M9" s="7">
        <f t="shared" si="1"/>
        <v>-1.3250883392226169E-4</v>
      </c>
    </row>
    <row r="10" spans="1:13" x14ac:dyDescent="0.3">
      <c r="A10" s="6">
        <v>11</v>
      </c>
      <c r="B10" s="6" t="s">
        <v>14</v>
      </c>
      <c r="C10" s="7"/>
      <c r="D10" s="7">
        <v>8.1</v>
      </c>
      <c r="E10" s="7">
        <v>7.92</v>
      </c>
      <c r="F10" s="7">
        <f t="shared" si="0"/>
        <v>-0.17999999999999972</v>
      </c>
      <c r="G10" s="11">
        <v>0.64027777777777783</v>
      </c>
      <c r="H10" s="11">
        <v>0.69861111111111107</v>
      </c>
      <c r="I10" s="20">
        <v>60</v>
      </c>
      <c r="J10" s="7">
        <v>1.375</v>
      </c>
      <c r="K10" s="7">
        <v>14.68</v>
      </c>
      <c r="L10" s="7">
        <v>59</v>
      </c>
      <c r="M10" s="7">
        <f t="shared" si="1"/>
        <v>-2.0435967302452284E-4</v>
      </c>
    </row>
    <row r="11" spans="1:13" x14ac:dyDescent="0.3">
      <c r="A11" s="6">
        <v>12</v>
      </c>
      <c r="B11" s="6" t="s">
        <v>14</v>
      </c>
      <c r="C11" s="6" t="s">
        <v>42</v>
      </c>
      <c r="D11" s="7">
        <v>7.69</v>
      </c>
      <c r="E11" s="7">
        <v>6.3</v>
      </c>
      <c r="F11" s="7">
        <f t="shared" si="0"/>
        <v>-1.3900000000000006</v>
      </c>
      <c r="G11" s="10">
        <v>0.64444444444444449</v>
      </c>
      <c r="H11" s="8">
        <v>0.68611111111111101</v>
      </c>
      <c r="I11" s="20">
        <v>60</v>
      </c>
      <c r="J11" s="7">
        <v>1.476</v>
      </c>
      <c r="K11" s="7">
        <v>28.65</v>
      </c>
      <c r="L11" s="7">
        <v>79</v>
      </c>
      <c r="M11" s="7">
        <f t="shared" si="1"/>
        <v>-8.0860965677719639E-4</v>
      </c>
    </row>
    <row r="12" spans="1:13" x14ac:dyDescent="0.3">
      <c r="A12" s="6">
        <v>21</v>
      </c>
      <c r="B12" s="6" t="s">
        <v>14</v>
      </c>
      <c r="C12" s="7"/>
      <c r="D12" s="7">
        <v>7.18</v>
      </c>
      <c r="E12" s="7">
        <v>6.96</v>
      </c>
      <c r="F12" s="7">
        <f t="shared" si="0"/>
        <v>-0.21999999999999975</v>
      </c>
      <c r="G12" s="12" t="s">
        <v>46</v>
      </c>
      <c r="H12" s="12" t="s">
        <v>40</v>
      </c>
      <c r="I12" s="20">
        <v>60</v>
      </c>
      <c r="J12" s="7">
        <v>1.395</v>
      </c>
      <c r="K12" s="7">
        <v>24.05</v>
      </c>
      <c r="L12" s="7" t="s">
        <v>50</v>
      </c>
      <c r="M12" s="7">
        <f t="shared" si="1"/>
        <v>-1.5246015246015229E-4</v>
      </c>
    </row>
    <row r="13" spans="1:13" x14ac:dyDescent="0.3">
      <c r="A13" s="6">
        <v>22</v>
      </c>
      <c r="B13" s="6" t="s">
        <v>14</v>
      </c>
      <c r="C13" s="7"/>
      <c r="D13" s="7">
        <v>7.51</v>
      </c>
      <c r="E13" s="7">
        <v>6.27</v>
      </c>
      <c r="F13" s="7">
        <f t="shared" si="0"/>
        <v>-1.2400000000000002</v>
      </c>
      <c r="G13" s="12" t="s">
        <v>47</v>
      </c>
      <c r="H13" s="12">
        <v>0.6875</v>
      </c>
      <c r="I13" s="20">
        <v>75</v>
      </c>
      <c r="J13" s="7">
        <v>1.4179999999999999</v>
      </c>
      <c r="K13" s="7">
        <v>27.63</v>
      </c>
      <c r="L13" s="7">
        <v>70</v>
      </c>
      <c r="M13" s="7">
        <f t="shared" si="1"/>
        <v>-5.9838339968633142E-4</v>
      </c>
    </row>
    <row r="14" spans="1:13" x14ac:dyDescent="0.3">
      <c r="A14" s="6">
        <v>3</v>
      </c>
      <c r="B14" s="6" t="s">
        <v>16</v>
      </c>
      <c r="C14" s="6"/>
      <c r="D14" s="7">
        <v>7.49</v>
      </c>
      <c r="E14" s="7">
        <v>6.55</v>
      </c>
      <c r="F14" s="7">
        <f t="shared" si="0"/>
        <v>-0.94000000000000039</v>
      </c>
      <c r="G14" s="9">
        <v>0.64930555555555558</v>
      </c>
      <c r="H14" s="9">
        <v>0.19236111111111112</v>
      </c>
      <c r="I14" s="20">
        <v>62.09</v>
      </c>
      <c r="J14" s="7">
        <v>1.355</v>
      </c>
      <c r="K14" s="7">
        <v>26.59</v>
      </c>
      <c r="L14" s="7">
        <v>75</v>
      </c>
      <c r="M14" s="7">
        <f t="shared" si="1"/>
        <v>-5.6936118462499498E-4</v>
      </c>
    </row>
    <row r="15" spans="1:13" x14ac:dyDescent="0.3">
      <c r="A15" s="6">
        <v>8</v>
      </c>
      <c r="B15" s="6" t="s">
        <v>15</v>
      </c>
      <c r="C15" s="6"/>
      <c r="D15" s="7">
        <v>7.66</v>
      </c>
      <c r="E15" s="7">
        <v>6.57</v>
      </c>
      <c r="F15" s="7">
        <f t="shared" si="0"/>
        <v>-1.0899999999999999</v>
      </c>
      <c r="G15" s="8" t="s">
        <v>21</v>
      </c>
      <c r="H15" s="8">
        <v>0.69166666666666676</v>
      </c>
      <c r="I15" s="20">
        <v>75.25</v>
      </c>
      <c r="J15" s="7">
        <v>1.3480000000000001</v>
      </c>
      <c r="K15" s="7">
        <v>33.42</v>
      </c>
      <c r="L15" s="7">
        <v>80</v>
      </c>
      <c r="M15" s="7">
        <f t="shared" si="1"/>
        <v>-4.3342459107980372E-4</v>
      </c>
    </row>
    <row r="16" spans="1:13" x14ac:dyDescent="0.3">
      <c r="A16" s="6">
        <v>15</v>
      </c>
      <c r="B16" s="6" t="s">
        <v>15</v>
      </c>
      <c r="C16" s="7"/>
      <c r="D16" s="7">
        <v>7.72</v>
      </c>
      <c r="E16" s="7">
        <v>7.33</v>
      </c>
      <c r="F16" s="7">
        <f t="shared" si="0"/>
        <v>-0.38999999999999968</v>
      </c>
      <c r="G16" s="8">
        <v>0.64166666666666672</v>
      </c>
      <c r="H16" s="8">
        <v>0.68819444444444444</v>
      </c>
      <c r="I16" s="20">
        <v>67</v>
      </c>
      <c r="J16" s="7">
        <v>1.35</v>
      </c>
      <c r="K16" s="7">
        <v>27.54</v>
      </c>
      <c r="L16" s="7">
        <v>80</v>
      </c>
      <c r="M16" s="7">
        <f t="shared" si="1"/>
        <v>-2.1136149318765632E-4</v>
      </c>
    </row>
    <row r="17" spans="1:13" x14ac:dyDescent="0.3">
      <c r="A17" s="6">
        <v>16</v>
      </c>
      <c r="B17" s="6" t="s">
        <v>15</v>
      </c>
      <c r="C17" s="7"/>
      <c r="D17" s="7">
        <v>7.04</v>
      </c>
      <c r="E17" s="7">
        <v>6.37</v>
      </c>
      <c r="F17" s="7">
        <f t="shared" si="0"/>
        <v>-0.66999999999999993</v>
      </c>
      <c r="G17" s="12" t="s">
        <v>31</v>
      </c>
      <c r="H17" s="12" t="s">
        <v>32</v>
      </c>
      <c r="I17" s="20">
        <v>45</v>
      </c>
      <c r="J17" s="7">
        <v>1.395</v>
      </c>
      <c r="K17" s="7">
        <v>21.92</v>
      </c>
      <c r="L17" s="7">
        <v>66</v>
      </c>
      <c r="M17" s="7">
        <f t="shared" si="1"/>
        <v>-6.7923763179237619E-4</v>
      </c>
    </row>
    <row r="18" spans="1:13" x14ac:dyDescent="0.3">
      <c r="A18" s="6">
        <v>17</v>
      </c>
      <c r="B18" s="6" t="s">
        <v>15</v>
      </c>
      <c r="C18" s="7"/>
      <c r="D18" s="7">
        <v>7.77</v>
      </c>
      <c r="E18" s="7">
        <v>7.13</v>
      </c>
      <c r="F18" s="7">
        <f t="shared" si="0"/>
        <v>-0.63999999999999968</v>
      </c>
      <c r="G18" s="12" t="s">
        <v>33</v>
      </c>
      <c r="H18" s="12" t="s">
        <v>32</v>
      </c>
      <c r="I18" s="20">
        <v>90</v>
      </c>
      <c r="J18" s="7">
        <v>1.4</v>
      </c>
      <c r="K18" s="7">
        <v>28.96</v>
      </c>
      <c r="L18" s="7">
        <v>68</v>
      </c>
      <c r="M18" s="7">
        <f t="shared" si="1"/>
        <v>-2.4554941682013496E-4</v>
      </c>
    </row>
    <row r="19" spans="1:13" x14ac:dyDescent="0.3">
      <c r="A19" s="6">
        <v>18</v>
      </c>
      <c r="B19" s="6" t="s">
        <v>15</v>
      </c>
      <c r="C19" s="7"/>
      <c r="D19" s="7">
        <v>7.34</v>
      </c>
      <c r="E19" s="7">
        <v>6.66</v>
      </c>
      <c r="F19" s="7">
        <f t="shared" si="0"/>
        <v>-0.67999999999999972</v>
      </c>
      <c r="G19" s="12" t="s">
        <v>34</v>
      </c>
      <c r="H19" s="12" t="s">
        <v>35</v>
      </c>
      <c r="I19" s="20">
        <v>60</v>
      </c>
      <c r="J19" s="7">
        <v>1.379</v>
      </c>
      <c r="K19" s="7">
        <v>28.75</v>
      </c>
      <c r="L19" s="7">
        <v>75.5</v>
      </c>
      <c r="M19" s="7">
        <f t="shared" si="1"/>
        <v>-3.9420289855072446E-4</v>
      </c>
    </row>
    <row r="20" spans="1:13" x14ac:dyDescent="0.3">
      <c r="A20" s="6">
        <v>1</v>
      </c>
      <c r="B20" s="6" t="s">
        <v>13</v>
      </c>
      <c r="C20" s="6"/>
      <c r="D20" s="7">
        <v>7.64</v>
      </c>
      <c r="E20" s="7">
        <v>6.96</v>
      </c>
      <c r="F20" s="7">
        <f t="shared" si="0"/>
        <v>-0.67999999999999972</v>
      </c>
      <c r="G20" s="8">
        <v>0.63888888888888895</v>
      </c>
      <c r="H20" s="8">
        <v>0.69305555555555554</v>
      </c>
      <c r="I20" s="20">
        <v>78.58</v>
      </c>
      <c r="J20" s="7">
        <v>1.39</v>
      </c>
      <c r="K20" s="7">
        <v>15.33</v>
      </c>
      <c r="L20" s="7">
        <v>60</v>
      </c>
      <c r="M20" s="7">
        <f t="shared" si="1"/>
        <v>-5.6448802513366309E-4</v>
      </c>
    </row>
    <row r="21" spans="1:13" x14ac:dyDescent="0.3">
      <c r="A21" s="6">
        <v>5</v>
      </c>
      <c r="B21" s="6" t="s">
        <v>13</v>
      </c>
      <c r="C21" s="6"/>
      <c r="D21" s="7">
        <v>7.8</v>
      </c>
      <c r="E21" s="7">
        <v>6.39</v>
      </c>
      <c r="F21" s="7">
        <f t="shared" si="0"/>
        <v>-1.4100000000000001</v>
      </c>
      <c r="G21" s="9" t="s">
        <v>22</v>
      </c>
      <c r="H21" s="8" t="s">
        <v>18</v>
      </c>
      <c r="I21" s="20">
        <v>100</v>
      </c>
      <c r="J21" s="7">
        <v>1.4079999999999999</v>
      </c>
      <c r="K21" s="7">
        <v>17.63</v>
      </c>
      <c r="L21" s="7">
        <v>60</v>
      </c>
      <c r="M21" s="7">
        <f t="shared" si="1"/>
        <v>-7.9977311401020995E-4</v>
      </c>
    </row>
    <row r="22" spans="1:13" x14ac:dyDescent="0.3">
      <c r="A22" s="6">
        <v>6</v>
      </c>
      <c r="B22" s="6" t="s">
        <v>13</v>
      </c>
      <c r="C22" s="6"/>
      <c r="D22" s="7">
        <v>8.1</v>
      </c>
      <c r="E22" s="7">
        <v>6.85</v>
      </c>
      <c r="F22" s="7">
        <f t="shared" si="0"/>
        <v>-1.25</v>
      </c>
      <c r="G22" s="8" t="s">
        <v>19</v>
      </c>
      <c r="H22" s="8" t="s">
        <v>20</v>
      </c>
      <c r="I22" s="20">
        <v>80</v>
      </c>
      <c r="J22" s="7">
        <v>1.4850000000000001</v>
      </c>
      <c r="K22" s="7">
        <v>23.2</v>
      </c>
      <c r="L22" s="7">
        <v>65</v>
      </c>
      <c r="M22" s="7">
        <f t="shared" si="1"/>
        <v>-6.7349137931034487E-4</v>
      </c>
    </row>
    <row r="23" spans="1:13" x14ac:dyDescent="0.3">
      <c r="A23" s="6">
        <v>9</v>
      </c>
      <c r="B23" s="6" t="s">
        <v>13</v>
      </c>
      <c r="C23" s="7"/>
      <c r="D23" s="7">
        <v>7.2</v>
      </c>
      <c r="E23" s="7">
        <v>6.02</v>
      </c>
      <c r="F23" s="7">
        <f t="shared" si="0"/>
        <v>-1.1800000000000006</v>
      </c>
      <c r="G23" s="8">
        <v>0.63472222222222219</v>
      </c>
      <c r="H23" s="8">
        <v>0.67708333333333337</v>
      </c>
      <c r="I23" s="20">
        <v>61</v>
      </c>
      <c r="J23" s="7">
        <v>1.335</v>
      </c>
      <c r="K23" s="7">
        <v>32.659999999999997</v>
      </c>
      <c r="L23" s="7">
        <v>81</v>
      </c>
      <c r="M23" s="7">
        <f t="shared" si="1"/>
        <v>-5.9229217070061175E-4</v>
      </c>
    </row>
    <row r="24" spans="1:13" x14ac:dyDescent="0.3">
      <c r="A24" s="6">
        <v>13</v>
      </c>
      <c r="B24" s="6" t="s">
        <v>13</v>
      </c>
      <c r="C24" s="7"/>
      <c r="D24" s="7">
        <v>7.56</v>
      </c>
      <c r="E24" s="7">
        <v>7</v>
      </c>
      <c r="F24" s="7">
        <f t="shared" si="0"/>
        <v>-0.55999999999999961</v>
      </c>
      <c r="G24" s="9">
        <v>0.14444444444444446</v>
      </c>
      <c r="H24" s="8">
        <v>0.19444444444444445</v>
      </c>
      <c r="I24" s="20">
        <v>60.5</v>
      </c>
      <c r="J24" s="7">
        <v>1.395</v>
      </c>
      <c r="K24" s="7">
        <v>16.02</v>
      </c>
      <c r="L24" s="7">
        <v>65</v>
      </c>
      <c r="M24" s="7">
        <f t="shared" si="1"/>
        <v>-5.7779015899547012E-4</v>
      </c>
    </row>
    <row r="25" spans="1:13" x14ac:dyDescent="0.3">
      <c r="A25" s="6">
        <v>14</v>
      </c>
      <c r="B25" s="6" t="s">
        <v>13</v>
      </c>
      <c r="C25" s="7"/>
      <c r="D25" s="7">
        <v>7.53</v>
      </c>
      <c r="E25" s="7">
        <v>6.39</v>
      </c>
      <c r="F25" s="7">
        <f t="shared" si="0"/>
        <v>-1.1400000000000006</v>
      </c>
      <c r="G25" s="10">
        <v>0.63611111111111118</v>
      </c>
      <c r="H25" s="8">
        <v>0.67847222222222225</v>
      </c>
      <c r="I25" s="20">
        <v>61</v>
      </c>
      <c r="J25" s="7">
        <v>1.385</v>
      </c>
      <c r="K25" s="7">
        <v>35.479999999999997</v>
      </c>
      <c r="L25" s="7">
        <v>68</v>
      </c>
      <c r="M25" s="7">
        <f t="shared" si="1"/>
        <v>-5.2673406398432766E-4</v>
      </c>
    </row>
    <row r="26" spans="1:13" x14ac:dyDescent="0.3">
      <c r="A26" s="6">
        <v>19</v>
      </c>
      <c r="B26" s="6" t="s">
        <v>13</v>
      </c>
      <c r="C26" s="7"/>
      <c r="D26" s="7">
        <v>7.56</v>
      </c>
      <c r="E26" s="7">
        <v>6.82</v>
      </c>
      <c r="F26" s="7">
        <f t="shared" si="0"/>
        <v>-0.73999999999999932</v>
      </c>
      <c r="G26" s="12" t="s">
        <v>36</v>
      </c>
      <c r="H26" s="12" t="s">
        <v>37</v>
      </c>
      <c r="I26" s="20">
        <v>78</v>
      </c>
      <c r="J26" s="7">
        <v>1.458</v>
      </c>
      <c r="K26" s="7">
        <v>22.6</v>
      </c>
      <c r="L26" s="7">
        <v>68</v>
      </c>
      <c r="M26" s="7">
        <f t="shared" si="1"/>
        <v>-4.197867029725433E-4</v>
      </c>
    </row>
    <row r="27" spans="1:13" x14ac:dyDescent="0.3">
      <c r="A27" s="6">
        <v>20</v>
      </c>
      <c r="B27" s="6" t="s">
        <v>13</v>
      </c>
      <c r="C27" s="7"/>
      <c r="D27" s="7">
        <v>7.88</v>
      </c>
      <c r="E27" s="7">
        <v>7.09</v>
      </c>
      <c r="F27" s="7">
        <f t="shared" si="0"/>
        <v>-0.79</v>
      </c>
      <c r="G27" s="12" t="s">
        <v>43</v>
      </c>
      <c r="H27" s="12" t="s">
        <v>38</v>
      </c>
      <c r="I27" s="20">
        <v>76</v>
      </c>
      <c r="J27" s="7">
        <v>1.3779999999999999</v>
      </c>
      <c r="K27" s="7">
        <v>21.57</v>
      </c>
      <c r="L27" s="7">
        <v>69</v>
      </c>
      <c r="M27" s="7">
        <f t="shared" si="1"/>
        <v>-4.8190713222555695E-4</v>
      </c>
    </row>
    <row r="28" spans="1:13" x14ac:dyDescent="0.3">
      <c r="A28" s="6">
        <v>23</v>
      </c>
      <c r="B28" s="6" t="s">
        <v>13</v>
      </c>
      <c r="C28" s="7"/>
      <c r="D28" s="7">
        <v>7.29</v>
      </c>
      <c r="E28" s="7">
        <v>6.29</v>
      </c>
      <c r="F28" s="7">
        <f t="shared" si="0"/>
        <v>-1</v>
      </c>
      <c r="G28" s="12" t="s">
        <v>41</v>
      </c>
      <c r="H28" s="12" t="s">
        <v>32</v>
      </c>
      <c r="I28" s="20">
        <v>60</v>
      </c>
      <c r="J28" s="7">
        <v>1.44</v>
      </c>
      <c r="K28" s="7">
        <v>27.27</v>
      </c>
      <c r="L28" s="7">
        <v>66</v>
      </c>
      <c r="M28" s="7">
        <f t="shared" si="1"/>
        <v>-6.1117222833394452E-4</v>
      </c>
    </row>
  </sheetData>
  <mergeCells count="2">
    <mergeCell ref="D4:F4"/>
    <mergeCell ref="G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opLeftCell="A6" workbookViewId="0">
      <selection activeCell="H21" sqref="H21"/>
    </sheetView>
  </sheetViews>
  <sheetFormatPr defaultRowHeight="14.4" x14ac:dyDescent="0.3"/>
  <cols>
    <col min="1" max="1" width="14.5546875" customWidth="1"/>
    <col min="2" max="2" width="35.88671875" customWidth="1"/>
    <col min="3" max="3" width="34.88671875" bestFit="1" customWidth="1"/>
    <col min="4" max="4" width="13.109375" customWidth="1"/>
    <col min="5" max="5" width="10.6640625" customWidth="1"/>
    <col min="6" max="6" width="14.5546875" customWidth="1"/>
    <col min="7" max="7" width="17.5546875" customWidth="1"/>
    <col min="8" max="8" width="33.33203125" bestFit="1" customWidth="1"/>
    <col min="9" max="9" width="21.88671875" customWidth="1"/>
    <col min="10" max="10" width="18.33203125" customWidth="1"/>
    <col min="11" max="11" width="20.88671875" customWidth="1"/>
  </cols>
  <sheetData>
    <row r="1" spans="1:11" ht="18" x14ac:dyDescent="0.35">
      <c r="A1" s="2" t="s">
        <v>3</v>
      </c>
      <c r="B1" s="2"/>
      <c r="C1" s="2"/>
      <c r="D1" s="1"/>
      <c r="E1" s="1"/>
      <c r="F1" s="1"/>
      <c r="G1" s="1"/>
      <c r="H1" s="1"/>
      <c r="I1" s="1"/>
      <c r="J1" s="1"/>
      <c r="K1" s="1"/>
    </row>
    <row r="2" spans="1:11" ht="18" x14ac:dyDescent="0.35">
      <c r="A2" s="2" t="s">
        <v>4</v>
      </c>
      <c r="B2" s="5" t="s">
        <v>24</v>
      </c>
      <c r="C2" s="5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3" customFormat="1" ht="18" customHeight="1" x14ac:dyDescent="0.3">
      <c r="A4" s="4"/>
      <c r="B4" s="4"/>
      <c r="C4" s="4"/>
      <c r="D4" s="14" t="s">
        <v>0</v>
      </c>
      <c r="E4" s="14"/>
      <c r="F4" s="15" t="s">
        <v>10</v>
      </c>
      <c r="G4" s="16"/>
      <c r="H4" s="17"/>
      <c r="I4" s="4"/>
      <c r="J4" s="4"/>
      <c r="K4" s="4"/>
    </row>
    <row r="5" spans="1:11" s="3" customFormat="1" ht="18" customHeight="1" x14ac:dyDescent="0.3">
      <c r="A5" s="4" t="s">
        <v>26</v>
      </c>
      <c r="B5" s="4" t="s">
        <v>11</v>
      </c>
      <c r="C5" s="4" t="s">
        <v>30</v>
      </c>
      <c r="D5" s="4" t="s">
        <v>1</v>
      </c>
      <c r="E5" s="4" t="s">
        <v>2</v>
      </c>
      <c r="F5" s="4" t="s">
        <v>5</v>
      </c>
      <c r="G5" s="4" t="s">
        <v>6</v>
      </c>
      <c r="H5" s="4" t="s">
        <v>12</v>
      </c>
      <c r="I5" s="4" t="s">
        <v>7</v>
      </c>
      <c r="J5" s="4" t="s">
        <v>8</v>
      </c>
      <c r="K5" s="4" t="s">
        <v>9</v>
      </c>
    </row>
    <row r="6" spans="1:11" x14ac:dyDescent="0.3">
      <c r="A6" s="6">
        <v>2</v>
      </c>
      <c r="B6" s="6" t="s">
        <v>14</v>
      </c>
      <c r="C6" s="6"/>
      <c r="D6" s="7">
        <v>7.69</v>
      </c>
      <c r="E6" s="7">
        <v>7.25</v>
      </c>
      <c r="F6" s="9" t="s">
        <v>17</v>
      </c>
      <c r="G6" s="9" t="s">
        <v>18</v>
      </c>
      <c r="H6" s="13">
        <v>3.7268518518518513E-2</v>
      </c>
      <c r="I6" s="7">
        <v>1.409</v>
      </c>
      <c r="J6" s="7">
        <v>25.89</v>
      </c>
      <c r="K6" s="7">
        <v>68</v>
      </c>
    </row>
    <row r="7" spans="1:11" x14ac:dyDescent="0.3">
      <c r="A7" s="6">
        <v>4</v>
      </c>
      <c r="B7" s="6" t="s">
        <v>14</v>
      </c>
      <c r="C7" s="6"/>
      <c r="D7" s="7">
        <v>7.45</v>
      </c>
      <c r="E7" s="7">
        <v>6.87</v>
      </c>
      <c r="F7" s="10">
        <v>0.64930555555555558</v>
      </c>
      <c r="G7" s="8">
        <v>0.69097222222222221</v>
      </c>
      <c r="H7" s="12" t="s">
        <v>25</v>
      </c>
      <c r="I7" s="7">
        <v>1.448</v>
      </c>
      <c r="J7" s="7">
        <v>24.73</v>
      </c>
      <c r="K7" s="7">
        <v>74</v>
      </c>
    </row>
    <row r="8" spans="1:11" x14ac:dyDescent="0.3">
      <c r="A8" s="6">
        <v>7</v>
      </c>
      <c r="B8" s="6" t="s">
        <v>14</v>
      </c>
      <c r="C8" s="6"/>
      <c r="D8" s="7">
        <v>7.48</v>
      </c>
      <c r="E8" s="7">
        <v>6.36</v>
      </c>
      <c r="F8" s="9" t="s">
        <v>23</v>
      </c>
      <c r="G8" s="9">
        <v>0.19097222222222221</v>
      </c>
      <c r="H8" s="13">
        <v>4.6377314814814809E-2</v>
      </c>
      <c r="I8" s="7">
        <v>1.345</v>
      </c>
      <c r="J8" s="7">
        <v>28.43</v>
      </c>
      <c r="K8" s="7">
        <v>74</v>
      </c>
    </row>
    <row r="9" spans="1:11" x14ac:dyDescent="0.3">
      <c r="A9" s="6">
        <v>10</v>
      </c>
      <c r="B9" s="6" t="s">
        <v>14</v>
      </c>
      <c r="C9" s="7"/>
      <c r="D9" s="7">
        <v>7.65</v>
      </c>
      <c r="E9" s="7">
        <v>7.38</v>
      </c>
      <c r="F9" s="9">
        <v>0.65</v>
      </c>
      <c r="G9" s="9">
        <v>0.69166666666666676</v>
      </c>
      <c r="H9" s="12" t="s">
        <v>25</v>
      </c>
      <c r="I9" s="7">
        <v>1.35</v>
      </c>
      <c r="J9" s="7">
        <v>33.96</v>
      </c>
      <c r="K9" s="7">
        <v>77</v>
      </c>
    </row>
    <row r="10" spans="1:11" x14ac:dyDescent="0.3">
      <c r="A10" s="6">
        <v>11</v>
      </c>
      <c r="B10" s="6" t="s">
        <v>14</v>
      </c>
      <c r="C10" s="7"/>
      <c r="D10" s="7">
        <v>8.1</v>
      </c>
      <c r="E10" s="7">
        <v>7.92</v>
      </c>
      <c r="F10" s="11">
        <v>0.64027777777777783</v>
      </c>
      <c r="G10" s="11">
        <v>0.69861111111111107</v>
      </c>
      <c r="H10" s="12">
        <v>60</v>
      </c>
      <c r="I10" s="7">
        <v>1.375</v>
      </c>
      <c r="J10" s="7">
        <v>14.68</v>
      </c>
      <c r="K10" s="7">
        <v>59</v>
      </c>
    </row>
    <row r="11" spans="1:11" x14ac:dyDescent="0.3">
      <c r="A11" s="6">
        <v>12</v>
      </c>
      <c r="B11" s="6" t="s">
        <v>14</v>
      </c>
      <c r="C11" s="6" t="s">
        <v>42</v>
      </c>
      <c r="D11" s="7">
        <v>7.69</v>
      </c>
      <c r="E11" s="7">
        <v>6.3</v>
      </c>
      <c r="F11" s="10">
        <v>0.64444444444444449</v>
      </c>
      <c r="G11" s="8">
        <v>0.68611111111111101</v>
      </c>
      <c r="H11" s="12">
        <v>60</v>
      </c>
      <c r="I11" s="7">
        <v>1.476</v>
      </c>
      <c r="J11" s="7">
        <v>28.65</v>
      </c>
      <c r="K11" s="7">
        <v>79</v>
      </c>
    </row>
    <row r="12" spans="1:11" x14ac:dyDescent="0.3">
      <c r="A12" s="6">
        <v>21</v>
      </c>
      <c r="B12" s="6" t="s">
        <v>14</v>
      </c>
      <c r="C12" s="7"/>
      <c r="D12" s="7">
        <v>7.18</v>
      </c>
      <c r="E12" s="7">
        <v>6.96</v>
      </c>
      <c r="F12" s="12" t="s">
        <v>39</v>
      </c>
      <c r="G12" s="12" t="s">
        <v>40</v>
      </c>
      <c r="H12" s="12">
        <v>60</v>
      </c>
      <c r="I12" s="7">
        <v>1.395</v>
      </c>
      <c r="J12" s="7">
        <v>24.05</v>
      </c>
      <c r="K12" s="7">
        <v>55</v>
      </c>
    </row>
    <row r="13" spans="1:11" x14ac:dyDescent="0.3">
      <c r="A13" s="6">
        <v>22</v>
      </c>
      <c r="B13" s="6" t="s">
        <v>14</v>
      </c>
      <c r="C13" s="7"/>
      <c r="D13" s="7">
        <v>7.51</v>
      </c>
      <c r="E13" s="7">
        <v>6.27</v>
      </c>
      <c r="F13" s="12" t="s">
        <v>44</v>
      </c>
      <c r="G13" s="12">
        <v>0.6875</v>
      </c>
      <c r="H13" s="12">
        <v>75</v>
      </c>
      <c r="I13" s="7">
        <v>1.4179999999999999</v>
      </c>
      <c r="J13" s="7">
        <v>27.63</v>
      </c>
      <c r="K13" s="7">
        <v>70</v>
      </c>
    </row>
    <row r="14" spans="1:11" x14ac:dyDescent="0.3">
      <c r="A14" s="6">
        <v>3</v>
      </c>
      <c r="B14" s="6" t="s">
        <v>16</v>
      </c>
      <c r="C14" s="6"/>
      <c r="D14" s="7">
        <v>7.49</v>
      </c>
      <c r="E14" s="7">
        <v>6.55</v>
      </c>
      <c r="F14" s="9">
        <v>0.64930555555555558</v>
      </c>
      <c r="G14" s="9">
        <v>0.19236111111111112</v>
      </c>
      <c r="H14" s="13">
        <v>4.3680555555555556E-2</v>
      </c>
      <c r="I14" s="7">
        <v>1.355</v>
      </c>
      <c r="J14" s="7">
        <v>26.59</v>
      </c>
      <c r="K14" s="7">
        <v>75</v>
      </c>
    </row>
    <row r="15" spans="1:11" x14ac:dyDescent="0.3">
      <c r="A15" s="6">
        <v>8</v>
      </c>
      <c r="B15" s="6" t="s">
        <v>15</v>
      </c>
      <c r="C15" s="6"/>
      <c r="D15" s="7">
        <v>7.66</v>
      </c>
      <c r="E15" s="7">
        <v>6.57</v>
      </c>
      <c r="F15" s="8" t="s">
        <v>21</v>
      </c>
      <c r="G15" s="8">
        <v>0.69166666666666676</v>
      </c>
      <c r="H15" s="13">
        <v>5.2256944444444446E-2</v>
      </c>
      <c r="I15" s="7">
        <v>1.3480000000000001</v>
      </c>
      <c r="J15" s="7">
        <v>33.42</v>
      </c>
      <c r="K15" s="7">
        <v>80</v>
      </c>
    </row>
    <row r="16" spans="1:11" x14ac:dyDescent="0.3">
      <c r="A16" s="6">
        <v>15</v>
      </c>
      <c r="B16" s="6" t="s">
        <v>15</v>
      </c>
      <c r="C16" s="7"/>
      <c r="D16" s="7">
        <v>7.72</v>
      </c>
      <c r="E16" s="7">
        <v>7.33</v>
      </c>
      <c r="F16" s="8">
        <v>0.64166666666666672</v>
      </c>
      <c r="G16" s="8">
        <v>0.68819444444444444</v>
      </c>
      <c r="H16" s="12" t="s">
        <v>29</v>
      </c>
      <c r="I16" s="7">
        <v>1.35</v>
      </c>
      <c r="J16" s="7">
        <v>27.54</v>
      </c>
      <c r="K16" s="7">
        <v>80</v>
      </c>
    </row>
    <row r="17" spans="1:11" x14ac:dyDescent="0.3">
      <c r="A17" s="6">
        <v>16</v>
      </c>
      <c r="B17" s="6" t="s">
        <v>15</v>
      </c>
      <c r="C17" s="7"/>
      <c r="D17" s="7">
        <v>7.04</v>
      </c>
      <c r="E17" s="7">
        <v>6.37</v>
      </c>
      <c r="F17" s="12" t="s">
        <v>31</v>
      </c>
      <c r="G17" s="12" t="s">
        <v>32</v>
      </c>
      <c r="H17" s="12">
        <v>45</v>
      </c>
      <c r="I17" s="7">
        <v>1.395</v>
      </c>
      <c r="J17" s="7">
        <v>21.92</v>
      </c>
      <c r="K17" s="7">
        <v>66</v>
      </c>
    </row>
    <row r="18" spans="1:11" x14ac:dyDescent="0.3">
      <c r="A18" s="6">
        <v>17</v>
      </c>
      <c r="B18" s="6" t="s">
        <v>15</v>
      </c>
      <c r="C18" s="7"/>
      <c r="D18" s="7">
        <v>7.77</v>
      </c>
      <c r="E18" s="7">
        <v>7.13</v>
      </c>
      <c r="F18" s="12" t="s">
        <v>33</v>
      </c>
      <c r="G18" s="12" t="s">
        <v>32</v>
      </c>
      <c r="H18" s="12">
        <v>90</v>
      </c>
      <c r="I18" s="7">
        <v>1.4</v>
      </c>
      <c r="J18" s="7">
        <v>28.96</v>
      </c>
      <c r="K18" s="7">
        <v>68</v>
      </c>
    </row>
    <row r="19" spans="1:11" x14ac:dyDescent="0.3">
      <c r="A19" s="6">
        <v>18</v>
      </c>
      <c r="B19" s="6" t="s">
        <v>15</v>
      </c>
      <c r="C19" s="7"/>
      <c r="D19" s="7">
        <v>7.34</v>
      </c>
      <c r="E19" s="7">
        <v>6.66</v>
      </c>
      <c r="F19" s="12" t="s">
        <v>34</v>
      </c>
      <c r="G19" s="12" t="s">
        <v>35</v>
      </c>
      <c r="H19" s="12">
        <v>60</v>
      </c>
      <c r="I19" s="7">
        <v>1.379</v>
      </c>
      <c r="J19" s="7">
        <v>28.75</v>
      </c>
      <c r="K19" s="7">
        <v>75.5</v>
      </c>
    </row>
    <row r="20" spans="1:11" x14ac:dyDescent="0.3">
      <c r="A20" s="6">
        <v>1</v>
      </c>
      <c r="B20" s="6" t="s">
        <v>13</v>
      </c>
      <c r="C20" s="6"/>
      <c r="D20" s="7">
        <v>7.64</v>
      </c>
      <c r="E20" s="7">
        <v>6.96</v>
      </c>
      <c r="F20" s="8">
        <v>0.63888888888888895</v>
      </c>
      <c r="G20" s="8">
        <v>0.69305555555555554</v>
      </c>
      <c r="H20" s="13">
        <v>5.4571759259259257E-2</v>
      </c>
      <c r="I20" s="7">
        <v>1.39</v>
      </c>
      <c r="J20" s="7">
        <v>15.33</v>
      </c>
      <c r="K20" s="7">
        <v>60</v>
      </c>
    </row>
    <row r="21" spans="1:11" x14ac:dyDescent="0.3">
      <c r="A21" s="6">
        <v>5</v>
      </c>
      <c r="B21" s="6" t="s">
        <v>13</v>
      </c>
      <c r="C21" s="6"/>
      <c r="D21" s="7">
        <v>7.8</v>
      </c>
      <c r="E21" s="7">
        <v>6.39</v>
      </c>
      <c r="F21" s="9" t="s">
        <v>22</v>
      </c>
      <c r="G21" s="8" t="s">
        <v>18</v>
      </c>
      <c r="H21" s="9">
        <v>6.9444444444444434E-2</v>
      </c>
      <c r="I21" s="7">
        <v>1.4079999999999999</v>
      </c>
      <c r="J21" s="7">
        <v>17.63</v>
      </c>
      <c r="K21" s="7">
        <v>60</v>
      </c>
    </row>
    <row r="22" spans="1:11" x14ac:dyDescent="0.3">
      <c r="A22" s="6">
        <v>6</v>
      </c>
      <c r="B22" s="6" t="s">
        <v>13</v>
      </c>
      <c r="C22" s="6"/>
      <c r="D22" s="7">
        <v>8.1</v>
      </c>
      <c r="E22" s="7">
        <v>6.85</v>
      </c>
      <c r="F22" s="8" t="s">
        <v>19</v>
      </c>
      <c r="G22" s="8" t="s">
        <v>20</v>
      </c>
      <c r="H22" s="12">
        <v>80</v>
      </c>
      <c r="I22" s="7">
        <v>1.4850000000000001</v>
      </c>
      <c r="J22" s="7">
        <v>23.2</v>
      </c>
      <c r="K22" s="7">
        <v>65</v>
      </c>
    </row>
    <row r="23" spans="1:11" x14ac:dyDescent="0.3">
      <c r="A23" s="6">
        <v>9</v>
      </c>
      <c r="B23" s="6" t="s">
        <v>13</v>
      </c>
      <c r="C23" s="7"/>
      <c r="D23" s="7">
        <v>7.2</v>
      </c>
      <c r="E23" s="7">
        <v>6.02</v>
      </c>
      <c r="F23" s="8">
        <v>0.63472222222222219</v>
      </c>
      <c r="G23" s="8">
        <v>0.67708333333333337</v>
      </c>
      <c r="H23" s="12" t="s">
        <v>27</v>
      </c>
      <c r="I23" s="7">
        <v>1.335</v>
      </c>
      <c r="J23" s="7">
        <v>32.659999999999997</v>
      </c>
      <c r="K23" s="7">
        <v>81</v>
      </c>
    </row>
    <row r="24" spans="1:11" x14ac:dyDescent="0.3">
      <c r="A24" s="6">
        <v>13</v>
      </c>
      <c r="B24" s="6" t="s">
        <v>13</v>
      </c>
      <c r="C24" s="7"/>
      <c r="D24" s="7">
        <v>7.56</v>
      </c>
      <c r="E24" s="7">
        <v>7</v>
      </c>
      <c r="F24" s="9">
        <v>0.14444444444444446</v>
      </c>
      <c r="G24" s="8">
        <v>0.19444444444444445</v>
      </c>
      <c r="H24" s="12" t="s">
        <v>28</v>
      </c>
      <c r="I24" s="7">
        <v>1.395</v>
      </c>
      <c r="J24" s="7">
        <v>16.02</v>
      </c>
      <c r="K24" s="7">
        <v>65</v>
      </c>
    </row>
    <row r="25" spans="1:11" x14ac:dyDescent="0.3">
      <c r="A25" s="6">
        <v>14</v>
      </c>
      <c r="B25" s="6" t="s">
        <v>13</v>
      </c>
      <c r="C25" s="7"/>
      <c r="D25" s="7">
        <v>7.53</v>
      </c>
      <c r="E25" s="7">
        <v>6.39</v>
      </c>
      <c r="F25" s="10">
        <v>0.63611111111111118</v>
      </c>
      <c r="G25" s="8">
        <v>0.67847222222222225</v>
      </c>
      <c r="H25" s="12" t="s">
        <v>27</v>
      </c>
      <c r="I25" s="7">
        <v>1.385</v>
      </c>
      <c r="J25" s="7">
        <v>35.479999999999997</v>
      </c>
      <c r="K25" s="7">
        <v>68</v>
      </c>
    </row>
    <row r="26" spans="1:11" x14ac:dyDescent="0.3">
      <c r="A26" s="6">
        <v>19</v>
      </c>
      <c r="B26" s="6" t="s">
        <v>13</v>
      </c>
      <c r="C26" s="7"/>
      <c r="D26" s="7">
        <v>7.56</v>
      </c>
      <c r="E26" s="7">
        <v>6.82</v>
      </c>
      <c r="F26" s="12" t="s">
        <v>36</v>
      </c>
      <c r="G26" s="12" t="s">
        <v>37</v>
      </c>
      <c r="H26" s="12">
        <v>78</v>
      </c>
      <c r="I26" s="7">
        <v>1.458</v>
      </c>
      <c r="J26" s="7">
        <v>22.6</v>
      </c>
      <c r="K26" s="7">
        <v>68</v>
      </c>
    </row>
    <row r="27" spans="1:11" x14ac:dyDescent="0.3">
      <c r="A27" s="6">
        <v>20</v>
      </c>
      <c r="B27" s="6" t="s">
        <v>13</v>
      </c>
      <c r="C27" s="7"/>
      <c r="D27" s="7">
        <v>7.88</v>
      </c>
      <c r="E27" s="7">
        <v>7.09</v>
      </c>
      <c r="F27" s="12" t="s">
        <v>43</v>
      </c>
      <c r="G27" s="12" t="s">
        <v>38</v>
      </c>
      <c r="H27" s="12">
        <v>76</v>
      </c>
      <c r="I27" s="7">
        <v>1.3779999999999999</v>
      </c>
      <c r="J27" s="7">
        <v>21.57</v>
      </c>
      <c r="K27" s="7">
        <v>69</v>
      </c>
    </row>
    <row r="28" spans="1:11" x14ac:dyDescent="0.3">
      <c r="A28" s="6">
        <v>23</v>
      </c>
      <c r="B28" s="6" t="s">
        <v>13</v>
      </c>
      <c r="C28" s="7"/>
      <c r="D28" s="7">
        <v>7.29</v>
      </c>
      <c r="E28" s="7">
        <v>6.29</v>
      </c>
      <c r="F28" s="12" t="s">
        <v>41</v>
      </c>
      <c r="G28" s="12" t="s">
        <v>32</v>
      </c>
      <c r="H28" s="12">
        <v>60</v>
      </c>
      <c r="I28" s="7">
        <v>1.44</v>
      </c>
      <c r="J28" s="7">
        <v>27.27</v>
      </c>
      <c r="K28" s="7">
        <v>66</v>
      </c>
    </row>
  </sheetData>
  <sortState xmlns:xlrd2="http://schemas.microsoft.com/office/spreadsheetml/2017/richdata2" ref="A6:K28">
    <sortCondition ref="B6:B28"/>
  </sortState>
  <mergeCells count="2">
    <mergeCell ref="D4:E4"/>
    <mergeCell ref="F4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Standardized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Lee</dc:creator>
  <cp:lastModifiedBy>ctgrey@student.ubc.ca</cp:lastModifiedBy>
  <dcterms:created xsi:type="dcterms:W3CDTF">2025-09-30T17:09:23Z</dcterms:created>
  <dcterms:modified xsi:type="dcterms:W3CDTF">2026-09-29T02:36:36Z</dcterms:modified>
</cp:coreProperties>
</file>