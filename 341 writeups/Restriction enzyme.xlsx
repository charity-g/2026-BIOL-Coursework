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lo\Documents\code2026\2026-BIOL-Coursework\"/>
    </mc:Choice>
  </mc:AlternateContent>
  <xr:revisionPtr revIDLastSave="0" documentId="13_ncr:1_{BE4C5A61-8807-4568-8993-A22A356A1139}" xr6:coauthVersionLast="47" xr6:coauthVersionMax="47" xr10:uidLastSave="{00000000-0000-0000-0000-000000000000}"/>
  <bookViews>
    <workbookView xWindow="-108" yWindow="-108" windowWidth="23256" windowHeight="12456" xr2:uid="{52D86597-0780-4D11-BD36-8DADBCEC05F5}"/>
  </bookViews>
  <sheets>
    <sheet name="20261007" sheetId="3" r:id="rId1"/>
    <sheet name="draft - 20261006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3" i="3" l="1"/>
  <c r="J37" i="3"/>
  <c r="I30" i="3"/>
  <c r="J30" i="3" s="1"/>
  <c r="I33" i="3"/>
  <c r="I34" i="3"/>
  <c r="J34" i="3" s="1"/>
  <c r="I37" i="3"/>
  <c r="I38" i="3"/>
  <c r="J38" i="3" s="1"/>
  <c r="H30" i="3"/>
  <c r="H31" i="3"/>
  <c r="I31" i="3" s="1"/>
  <c r="J31" i="3" s="1"/>
  <c r="H32" i="3"/>
  <c r="I32" i="3" s="1"/>
  <c r="J32" i="3" s="1"/>
  <c r="H33" i="3"/>
  <c r="H34" i="3"/>
  <c r="H35" i="3"/>
  <c r="I35" i="3" s="1"/>
  <c r="J35" i="3" s="1"/>
  <c r="H36" i="3"/>
  <c r="I36" i="3" s="1"/>
  <c r="J36" i="3" s="1"/>
  <c r="H37" i="3"/>
  <c r="H38" i="3"/>
  <c r="H39" i="3"/>
  <c r="I39" i="3" s="1"/>
  <c r="J39" i="3" s="1"/>
  <c r="H29" i="3"/>
  <c r="I29" i="3" s="1"/>
  <c r="J29" i="3" s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7" i="3"/>
  <c r="P7" i="1"/>
  <c r="O7" i="1"/>
  <c r="O6" i="1"/>
  <c r="P5" i="1"/>
  <c r="O5" i="1"/>
  <c r="O4" i="1"/>
  <c r="N7" i="1"/>
  <c r="N5" i="1"/>
  <c r="M7" i="1"/>
  <c r="M6" i="1"/>
  <c r="M5" i="1"/>
  <c r="M4" i="1"/>
</calcChain>
</file>

<file path=xl/sharedStrings.xml><?xml version="1.0" encoding="utf-8"?>
<sst xmlns="http://schemas.openxmlformats.org/spreadsheetml/2006/main" count="137" uniqueCount="74">
  <si>
    <t>Lane 2</t>
  </si>
  <si>
    <t>Lane 3</t>
  </si>
  <si>
    <t>Lane 4</t>
  </si>
  <si>
    <t>Lane 5</t>
  </si>
  <si>
    <t>Human measured</t>
  </si>
  <si>
    <t>Distance Travelled cm - top</t>
  </si>
  <si>
    <t>Distance Travelled cm - bot</t>
  </si>
  <si>
    <t>4.0</t>
  </si>
  <si>
    <t>3.8</t>
  </si>
  <si>
    <t>4.15</t>
  </si>
  <si>
    <t>Ladder band</t>
  </si>
  <si>
    <t>distance travelled - center, cm, sig digs</t>
  </si>
  <si>
    <t>distance travelled - center, cm, numeric</t>
  </si>
  <si>
    <t>2.30</t>
  </si>
  <si>
    <t>2.60</t>
  </si>
  <si>
    <t>3.05</t>
  </si>
  <si>
    <t>3.60</t>
  </si>
  <si>
    <t>4.95</t>
  </si>
  <si>
    <t>5.65</t>
  </si>
  <si>
    <t>2.70</t>
  </si>
  <si>
    <t>2.85</t>
  </si>
  <si>
    <t>4.05</t>
  </si>
  <si>
    <t>6.70</t>
  </si>
  <si>
    <t>Invitrogen 1 Kb-Plus DNA Ladder</t>
  </si>
  <si>
    <t>DNA Band (bp)</t>
  </si>
  <si>
    <t>DNA band length (bp)</t>
  </si>
  <si>
    <t>Average Distance Travelled - cm</t>
  </si>
  <si>
    <t>Average Distance Travelled 2nd band - cm</t>
  </si>
  <si>
    <t>Distance Travelled cm - top 2nd band</t>
  </si>
  <si>
    <t>Distance Travelled cm - bot 2nd band</t>
  </si>
  <si>
    <t>5.20</t>
  </si>
  <si>
    <t>4.00</t>
  </si>
  <si>
    <t>3.80</t>
  </si>
  <si>
    <t>5.40</t>
  </si>
  <si>
    <t>5.60</t>
  </si>
  <si>
    <t>5.30</t>
  </si>
  <si>
    <t>2nd DNA Band (bp)</t>
  </si>
  <si>
    <t>DNA Band (kb)</t>
  </si>
  <si>
    <t>2nd DNA Band (kb)</t>
  </si>
  <si>
    <t>7.90</t>
  </si>
  <si>
    <t>8.55</t>
  </si>
  <si>
    <t>9.00</t>
  </si>
  <si>
    <t>9.60</t>
  </si>
  <si>
    <t>10.20</t>
  </si>
  <si>
    <t>Lane</t>
  </si>
  <si>
    <t>Band in Lane</t>
  </si>
  <si>
    <t>A</t>
  </si>
  <si>
    <t>B</t>
  </si>
  <si>
    <t>C</t>
  </si>
  <si>
    <t>4.90</t>
  </si>
  <si>
    <t>4.10</t>
  </si>
  <si>
    <t>3.40</t>
  </si>
  <si>
    <t>3.30</t>
  </si>
  <si>
    <t>2.90</t>
  </si>
  <si>
    <t>2.75</t>
  </si>
  <si>
    <t>2.40</t>
  </si>
  <si>
    <t>6.65</t>
  </si>
  <si>
    <t>7.15</t>
  </si>
  <si>
    <t>7.80</t>
  </si>
  <si>
    <t>8.45</t>
  </si>
  <si>
    <t>8.95</t>
  </si>
  <si>
    <t>9.50</t>
  </si>
  <si>
    <t>10.15</t>
  </si>
  <si>
    <t>10.80</t>
  </si>
  <si>
    <t>3.35</t>
  </si>
  <si>
    <t>3.65</t>
  </si>
  <si>
    <t>3.75</t>
  </si>
  <si>
    <t>4.30</t>
  </si>
  <si>
    <t>5.25</t>
  </si>
  <si>
    <t>8.70</t>
  </si>
  <si>
    <t>DNA Band (kb), 1 decimal</t>
  </si>
  <si>
    <t>Log of DNA size</t>
  </si>
  <si>
    <t>log of DNA Band log(bp)</t>
  </si>
  <si>
    <t>Distance travelled - center,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</si>
</sst>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v>Distance travelled vs log DNA size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088981598581765E-2"/>
                  <c:y val="2.5858608385370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'20261007'!$F$7:$F$24</c:f>
              <c:numCache>
                <c:formatCode>General</c:formatCode>
                <c:ptCount val="18"/>
                <c:pt idx="0">
                  <c:v>2.4</c:v>
                </c:pt>
                <c:pt idx="1">
                  <c:v>2.6</c:v>
                </c:pt>
                <c:pt idx="2">
                  <c:v>2.75</c:v>
                </c:pt>
                <c:pt idx="3">
                  <c:v>2.9</c:v>
                </c:pt>
                <c:pt idx="4">
                  <c:v>3.05</c:v>
                </c:pt>
                <c:pt idx="5">
                  <c:v>3.3</c:v>
                </c:pt>
                <c:pt idx="6">
                  <c:v>3.6</c:v>
                </c:pt>
                <c:pt idx="7">
                  <c:v>4.0999999999999996</c:v>
                </c:pt>
                <c:pt idx="8">
                  <c:v>4.9000000000000004</c:v>
                </c:pt>
                <c:pt idx="9">
                  <c:v>5.65</c:v>
                </c:pt>
                <c:pt idx="10">
                  <c:v>6.65</c:v>
                </c:pt>
                <c:pt idx="11">
                  <c:v>7.15</c:v>
                </c:pt>
                <c:pt idx="12">
                  <c:v>7.8</c:v>
                </c:pt>
                <c:pt idx="13">
                  <c:v>8.4499999999999993</c:v>
                </c:pt>
                <c:pt idx="14">
                  <c:v>8.9499999999999993</c:v>
                </c:pt>
                <c:pt idx="15">
                  <c:v>9.5</c:v>
                </c:pt>
                <c:pt idx="16">
                  <c:v>10.15</c:v>
                </c:pt>
                <c:pt idx="17">
                  <c:v>10.8</c:v>
                </c:pt>
              </c:numCache>
            </c:numRef>
          </c:xVal>
          <c:yVal>
            <c:numRef>
              <c:f>'20261007'!$H$7:$H$24</c:f>
              <c:numCache>
                <c:formatCode>General</c:formatCode>
                <c:ptCount val="18"/>
                <c:pt idx="0">
                  <c:v>4.0077477780007396</c:v>
                </c:pt>
                <c:pt idx="1">
                  <c:v>3.9619902874400648</c:v>
                </c:pt>
                <c:pt idx="2">
                  <c:v>3.9108377649926833</c:v>
                </c:pt>
                <c:pt idx="3">
                  <c:v>3.8528458180149969</c:v>
                </c:pt>
                <c:pt idx="4">
                  <c:v>3.7858990283843834</c:v>
                </c:pt>
                <c:pt idx="5">
                  <c:v>3.7067177823367587</c:v>
                </c:pt>
                <c:pt idx="6">
                  <c:v>3.6098077693287025</c:v>
                </c:pt>
                <c:pt idx="7">
                  <c:v>3.4848690327204022</c:v>
                </c:pt>
                <c:pt idx="8">
                  <c:v>3.3087777736647213</c:v>
                </c:pt>
                <c:pt idx="9">
                  <c:v>3.2137832993353044</c:v>
                </c:pt>
                <c:pt idx="10">
                  <c:v>3.00774777800074</c:v>
                </c:pt>
                <c:pt idx="11">
                  <c:v>2.7084209001347128</c:v>
                </c:pt>
                <c:pt idx="12">
                  <c:v>2.5976951859255122</c:v>
                </c:pt>
                <c:pt idx="13">
                  <c:v>2.53655844257153</c:v>
                </c:pt>
                <c:pt idx="14">
                  <c:v>2.4742162640762553</c:v>
                </c:pt>
                <c:pt idx="15">
                  <c:v>2.3424226808222062</c:v>
                </c:pt>
                <c:pt idx="16">
                  <c:v>2.3031960574204891</c:v>
                </c:pt>
                <c:pt idx="17">
                  <c:v>2.1875207208364631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1-4572-A04B-ADF00544A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68016"/>
        <c:axId val="7537790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'20261007'!$D$6:$F$16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</c:v>
                        </c:pt>
                        <c:pt idx="1">
                          <c:v>2.4</c:v>
                        </c:pt>
                        <c:pt idx="2">
                          <c:v>2.6</c:v>
                        </c:pt>
                        <c:pt idx="3">
                          <c:v>2.75</c:v>
                        </c:pt>
                        <c:pt idx="4">
                          <c:v>2.9</c:v>
                        </c:pt>
                        <c:pt idx="5">
                          <c:v>3.05</c:v>
                        </c:pt>
                        <c:pt idx="6">
                          <c:v>3.3</c:v>
                        </c:pt>
                        <c:pt idx="7">
                          <c:v>3.6</c:v>
                        </c:pt>
                        <c:pt idx="8">
                          <c:v>4.1</c:v>
                        </c:pt>
                        <c:pt idx="9">
                          <c:v>4.9</c:v>
                        </c:pt>
                        <c:pt idx="10">
                          <c:v>5.65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2.40</c:v>
                        </c:pt>
                        <c:pt idx="2">
                          <c:v>2.60</c:v>
                        </c:pt>
                        <c:pt idx="3">
                          <c:v>2.75</c:v>
                        </c:pt>
                        <c:pt idx="4">
                          <c:v>2.90</c:v>
                        </c:pt>
                        <c:pt idx="5">
                          <c:v>3.05</c:v>
                        </c:pt>
                        <c:pt idx="6">
                          <c:v>3.30</c:v>
                        </c:pt>
                        <c:pt idx="7">
                          <c:v>3.60</c:v>
                        </c:pt>
                        <c:pt idx="8">
                          <c:v>4.10</c:v>
                        </c:pt>
                        <c:pt idx="9">
                          <c:v>4.90</c:v>
                        </c:pt>
                        <c:pt idx="10">
                          <c:v>5.65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'20261007'!$G$6:$G$16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10180</c:v>
                      </c:pt>
                      <c:pt idx="2">
                        <c:v>9162</c:v>
                      </c:pt>
                      <c:pt idx="3">
                        <c:v>8144</c:v>
                      </c:pt>
                      <c:pt idx="4">
                        <c:v>7126</c:v>
                      </c:pt>
                      <c:pt idx="5">
                        <c:v>6108</c:v>
                      </c:pt>
                      <c:pt idx="6">
                        <c:v>5090</c:v>
                      </c:pt>
                      <c:pt idx="7">
                        <c:v>4072</c:v>
                      </c:pt>
                      <c:pt idx="8">
                        <c:v>3054</c:v>
                      </c:pt>
                      <c:pt idx="9">
                        <c:v>2036</c:v>
                      </c:pt>
                      <c:pt idx="10">
                        <c:v>1636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71F-4A90-8921-B640D1B4850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'20261007'!$D$6:$F$16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</c:v>
                        </c:pt>
                        <c:pt idx="1">
                          <c:v>2.4</c:v>
                        </c:pt>
                        <c:pt idx="2">
                          <c:v>2.6</c:v>
                        </c:pt>
                        <c:pt idx="3">
                          <c:v>2.75</c:v>
                        </c:pt>
                        <c:pt idx="4">
                          <c:v>2.9</c:v>
                        </c:pt>
                        <c:pt idx="5">
                          <c:v>3.05</c:v>
                        </c:pt>
                        <c:pt idx="6">
                          <c:v>3.3</c:v>
                        </c:pt>
                        <c:pt idx="7">
                          <c:v>3.6</c:v>
                        </c:pt>
                        <c:pt idx="8">
                          <c:v>4.1</c:v>
                        </c:pt>
                        <c:pt idx="9">
                          <c:v>4.9</c:v>
                        </c:pt>
                        <c:pt idx="10">
                          <c:v>5.65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2.40</c:v>
                        </c:pt>
                        <c:pt idx="2">
                          <c:v>2.60</c:v>
                        </c:pt>
                        <c:pt idx="3">
                          <c:v>2.75</c:v>
                        </c:pt>
                        <c:pt idx="4">
                          <c:v>2.90</c:v>
                        </c:pt>
                        <c:pt idx="5">
                          <c:v>3.05</c:v>
                        </c:pt>
                        <c:pt idx="6">
                          <c:v>3.30</c:v>
                        </c:pt>
                        <c:pt idx="7">
                          <c:v>3.60</c:v>
                        </c:pt>
                        <c:pt idx="8">
                          <c:v>4.10</c:v>
                        </c:pt>
                        <c:pt idx="9">
                          <c:v>4.90</c:v>
                        </c:pt>
                        <c:pt idx="10">
                          <c:v>5.65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'20261007'!$H$6:$H$16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4.0077477780007396</c:v>
                      </c:pt>
                      <c:pt idx="2">
                        <c:v>3.9619902874400648</c:v>
                      </c:pt>
                      <c:pt idx="3">
                        <c:v>3.9108377649926833</c:v>
                      </c:pt>
                      <c:pt idx="4">
                        <c:v>3.8528458180149969</c:v>
                      </c:pt>
                      <c:pt idx="5">
                        <c:v>3.7858990283843834</c:v>
                      </c:pt>
                      <c:pt idx="6">
                        <c:v>3.7067177823367587</c:v>
                      </c:pt>
                      <c:pt idx="7">
                        <c:v>3.6098077693287025</c:v>
                      </c:pt>
                      <c:pt idx="8">
                        <c:v>3.4848690327204022</c:v>
                      </c:pt>
                      <c:pt idx="9">
                        <c:v>3.3087777736647213</c:v>
                      </c:pt>
                      <c:pt idx="10">
                        <c:v>3.2137832993353044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1F-4A90-8921-B640D1B485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DNA Band vs distance travelled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1.5981155388062517E-2"/>
                        <c:y val="-0.1789093246576061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'20261007'!$F$7:$F$23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2.4</c:v>
                      </c:pt>
                      <c:pt idx="1">
                        <c:v>2.6</c:v>
                      </c:pt>
                      <c:pt idx="2">
                        <c:v>2.75</c:v>
                      </c:pt>
                      <c:pt idx="3">
                        <c:v>2.9</c:v>
                      </c:pt>
                      <c:pt idx="4">
                        <c:v>3.05</c:v>
                      </c:pt>
                      <c:pt idx="5">
                        <c:v>3.3</c:v>
                      </c:pt>
                      <c:pt idx="6">
                        <c:v>3.6</c:v>
                      </c:pt>
                      <c:pt idx="7">
                        <c:v>4.0999999999999996</c:v>
                      </c:pt>
                      <c:pt idx="8">
                        <c:v>4.9000000000000004</c:v>
                      </c:pt>
                      <c:pt idx="9">
                        <c:v>5.65</c:v>
                      </c:pt>
                      <c:pt idx="10">
                        <c:v>6.65</c:v>
                      </c:pt>
                      <c:pt idx="11">
                        <c:v>7.15</c:v>
                      </c:pt>
                      <c:pt idx="12">
                        <c:v>7.8</c:v>
                      </c:pt>
                      <c:pt idx="13">
                        <c:v>8.4499999999999993</c:v>
                      </c:pt>
                      <c:pt idx="14">
                        <c:v>8.9499999999999993</c:v>
                      </c:pt>
                      <c:pt idx="15">
                        <c:v>9.5</c:v>
                      </c:pt>
                      <c:pt idx="16">
                        <c:v>10.15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'20261007'!$G$7:$G$23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10180</c:v>
                      </c:pt>
                      <c:pt idx="1">
                        <c:v>9162</c:v>
                      </c:pt>
                      <c:pt idx="2">
                        <c:v>8144</c:v>
                      </c:pt>
                      <c:pt idx="3">
                        <c:v>7126</c:v>
                      </c:pt>
                      <c:pt idx="4">
                        <c:v>6108</c:v>
                      </c:pt>
                      <c:pt idx="5">
                        <c:v>5090</c:v>
                      </c:pt>
                      <c:pt idx="6">
                        <c:v>4072</c:v>
                      </c:pt>
                      <c:pt idx="7">
                        <c:v>3054</c:v>
                      </c:pt>
                      <c:pt idx="8">
                        <c:v>2036</c:v>
                      </c:pt>
                      <c:pt idx="9">
                        <c:v>1636</c:v>
                      </c:pt>
                      <c:pt idx="10">
                        <c:v>1018</c:v>
                      </c:pt>
                      <c:pt idx="11">
                        <c:v>511</c:v>
                      </c:pt>
                      <c:pt idx="12">
                        <c:v>396</c:v>
                      </c:pt>
                      <c:pt idx="13">
                        <c:v>344</c:v>
                      </c:pt>
                      <c:pt idx="14">
                        <c:v>298</c:v>
                      </c:pt>
                      <c:pt idx="15">
                        <c:v>220</c:v>
                      </c:pt>
                      <c:pt idx="16">
                        <c:v>201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71F-4A90-8921-B640D1B48509}"/>
                  </c:ext>
                </c:extLst>
              </c15:ser>
            </c15:filteredScatterSeries>
          </c:ext>
        </c:extLst>
      </c:scatterChart>
      <c:valAx>
        <c:axId val="81136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Travelled in Figure 1a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79040"/>
        <c:crosses val="autoZero"/>
        <c:crossBetween val="midCat"/>
      </c:valAx>
      <c:valAx>
        <c:axId val="7537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of </a:t>
                </a:r>
                <a:r>
                  <a:rPr lang="en-US"/>
                  <a:t>DNA Band (log10(bp)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589494021580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DNA Band vs distance travelled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981155388062517E-2"/>
                  <c:y val="-0.17890932465760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'draft - 20261006'!$F$13:$F$29</c:f>
              <c:numCache>
                <c:formatCode>General</c:formatCode>
                <c:ptCount val="17"/>
                <c:pt idx="0">
                  <c:v>2.2999999999999998</c:v>
                </c:pt>
                <c:pt idx="1">
                  <c:v>2.6</c:v>
                </c:pt>
                <c:pt idx="2">
                  <c:v>2.7</c:v>
                </c:pt>
                <c:pt idx="3" formatCode="0.00">
                  <c:v>2.85</c:v>
                </c:pt>
                <c:pt idx="4" formatCode="0.00">
                  <c:v>3.05</c:v>
                </c:pt>
                <c:pt idx="5" formatCode="0.00">
                  <c:v>3.6</c:v>
                </c:pt>
                <c:pt idx="6" formatCode="0.00">
                  <c:v>4.05</c:v>
                </c:pt>
                <c:pt idx="7" formatCode="0.00">
                  <c:v>4.95</c:v>
                </c:pt>
                <c:pt idx="8" formatCode="0.00">
                  <c:v>5.65</c:v>
                </c:pt>
                <c:pt idx="9" formatCode="0.00">
                  <c:v>6.7</c:v>
                </c:pt>
                <c:pt idx="10" formatCode="0.00">
                  <c:v>7.15</c:v>
                </c:pt>
                <c:pt idx="11" formatCode="0.00">
                  <c:v>7.9</c:v>
                </c:pt>
                <c:pt idx="12" formatCode="0.00">
                  <c:v>8.5500000000000007</c:v>
                </c:pt>
                <c:pt idx="13" formatCode="0.00">
                  <c:v>9</c:v>
                </c:pt>
                <c:pt idx="14" formatCode="0.00">
                  <c:v>9.6</c:v>
                </c:pt>
                <c:pt idx="15" formatCode="0.00">
                  <c:v>10.199999999999999</c:v>
                </c:pt>
                <c:pt idx="16" formatCode="0.00">
                  <c:v>10.85</c:v>
                </c:pt>
              </c:numCache>
            </c:numRef>
          </c:xVal>
          <c:yVal>
            <c:numRef>
              <c:f>'draft - 20261006'!$G$13:$G$29</c:f>
              <c:numCache>
                <c:formatCode>General</c:formatCode>
                <c:ptCount val="17"/>
                <c:pt idx="0">
                  <c:v>10180</c:v>
                </c:pt>
                <c:pt idx="1">
                  <c:v>9162</c:v>
                </c:pt>
                <c:pt idx="2">
                  <c:v>8144</c:v>
                </c:pt>
                <c:pt idx="3">
                  <c:v>7126</c:v>
                </c:pt>
                <c:pt idx="4">
                  <c:v>6108</c:v>
                </c:pt>
                <c:pt idx="5">
                  <c:v>5090</c:v>
                </c:pt>
                <c:pt idx="6">
                  <c:v>4072</c:v>
                </c:pt>
                <c:pt idx="7">
                  <c:v>3054</c:v>
                </c:pt>
                <c:pt idx="8">
                  <c:v>2036</c:v>
                </c:pt>
                <c:pt idx="9">
                  <c:v>1636</c:v>
                </c:pt>
                <c:pt idx="10">
                  <c:v>1018</c:v>
                </c:pt>
                <c:pt idx="11">
                  <c:v>501</c:v>
                </c:pt>
                <c:pt idx="12">
                  <c:v>396</c:v>
                </c:pt>
                <c:pt idx="13">
                  <c:v>344</c:v>
                </c:pt>
                <c:pt idx="14">
                  <c:v>298</c:v>
                </c:pt>
                <c:pt idx="15">
                  <c:v>220</c:v>
                </c:pt>
                <c:pt idx="16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BC-4729-BE28-7B4C140B2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68016"/>
        <c:axId val="7537790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'draft - 20261006'!$D$12:$F$22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cm, numeric</c:v>
                        </c:pt>
                        <c:pt idx="1">
                          <c:v>2.3</c:v>
                        </c:pt>
                        <c:pt idx="2">
                          <c:v>2.6</c:v>
                        </c:pt>
                        <c:pt idx="3">
                          <c:v>2.7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2.30</c:v>
                        </c:pt>
                        <c:pt idx="2">
                          <c:v>2.60</c:v>
                        </c:pt>
                        <c:pt idx="3">
                          <c:v>2.70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'draft - 20261006'!$G$12:$G$22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10180</c:v>
                      </c:pt>
                      <c:pt idx="2">
                        <c:v>9162</c:v>
                      </c:pt>
                      <c:pt idx="3">
                        <c:v>8144</c:v>
                      </c:pt>
                      <c:pt idx="4">
                        <c:v>7126</c:v>
                      </c:pt>
                      <c:pt idx="5">
                        <c:v>6108</c:v>
                      </c:pt>
                      <c:pt idx="6">
                        <c:v>5090</c:v>
                      </c:pt>
                      <c:pt idx="7">
                        <c:v>4072</c:v>
                      </c:pt>
                      <c:pt idx="8">
                        <c:v>3054</c:v>
                      </c:pt>
                      <c:pt idx="9">
                        <c:v>2036</c:v>
                      </c:pt>
                      <c:pt idx="10">
                        <c:v>1636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BC-4729-BE28-7B4C140B254B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- 20261006'!$D$12:$F$22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cm, numeric</c:v>
                        </c:pt>
                        <c:pt idx="1">
                          <c:v>2.3</c:v>
                        </c:pt>
                        <c:pt idx="2">
                          <c:v>2.6</c:v>
                        </c:pt>
                        <c:pt idx="3">
                          <c:v>2.7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2.30</c:v>
                        </c:pt>
                        <c:pt idx="2">
                          <c:v>2.60</c:v>
                        </c:pt>
                        <c:pt idx="3">
                          <c:v>2.70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- 20261006'!$H$12:$H$22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BC-4729-BE28-7B4C140B254B}"/>
                  </c:ext>
                </c:extLst>
              </c15:ser>
            </c15:filteredScatterSeries>
          </c:ext>
        </c:extLst>
      </c:scatterChart>
      <c:valAx>
        <c:axId val="81136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Travelled in Figure 1a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79040"/>
        <c:crosses val="autoZero"/>
        <c:crossBetween val="midCat"/>
      </c:valAx>
      <c:valAx>
        <c:axId val="7537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DNA Band (bp)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589494021580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DNA Band vs distance travelled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981155388062517E-2"/>
                  <c:y val="-0.17890932465760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'20261007'!$F$7:$F$23</c:f>
              <c:numCache>
                <c:formatCode>General</c:formatCode>
                <c:ptCount val="17"/>
                <c:pt idx="0">
                  <c:v>2.4</c:v>
                </c:pt>
                <c:pt idx="1">
                  <c:v>2.6</c:v>
                </c:pt>
                <c:pt idx="2">
                  <c:v>2.75</c:v>
                </c:pt>
                <c:pt idx="3">
                  <c:v>2.9</c:v>
                </c:pt>
                <c:pt idx="4">
                  <c:v>3.05</c:v>
                </c:pt>
                <c:pt idx="5">
                  <c:v>3.3</c:v>
                </c:pt>
                <c:pt idx="6">
                  <c:v>3.6</c:v>
                </c:pt>
                <c:pt idx="7">
                  <c:v>4.0999999999999996</c:v>
                </c:pt>
                <c:pt idx="8">
                  <c:v>4.9000000000000004</c:v>
                </c:pt>
                <c:pt idx="9">
                  <c:v>5.65</c:v>
                </c:pt>
                <c:pt idx="10">
                  <c:v>6.65</c:v>
                </c:pt>
                <c:pt idx="11">
                  <c:v>7.15</c:v>
                </c:pt>
                <c:pt idx="12">
                  <c:v>7.8</c:v>
                </c:pt>
                <c:pt idx="13">
                  <c:v>8.4499999999999993</c:v>
                </c:pt>
                <c:pt idx="14">
                  <c:v>8.9499999999999993</c:v>
                </c:pt>
                <c:pt idx="15">
                  <c:v>9.5</c:v>
                </c:pt>
                <c:pt idx="16">
                  <c:v>10.15</c:v>
                </c:pt>
              </c:numCache>
            </c:numRef>
          </c:xVal>
          <c:yVal>
            <c:numRef>
              <c:f>'20261007'!$G$7:$G$23</c:f>
              <c:numCache>
                <c:formatCode>General</c:formatCode>
                <c:ptCount val="17"/>
                <c:pt idx="0">
                  <c:v>10180</c:v>
                </c:pt>
                <c:pt idx="1">
                  <c:v>9162</c:v>
                </c:pt>
                <c:pt idx="2">
                  <c:v>8144</c:v>
                </c:pt>
                <c:pt idx="3">
                  <c:v>7126</c:v>
                </c:pt>
                <c:pt idx="4">
                  <c:v>6108</c:v>
                </c:pt>
                <c:pt idx="5">
                  <c:v>5090</c:v>
                </c:pt>
                <c:pt idx="6">
                  <c:v>4072</c:v>
                </c:pt>
                <c:pt idx="7">
                  <c:v>3054</c:v>
                </c:pt>
                <c:pt idx="8">
                  <c:v>2036</c:v>
                </c:pt>
                <c:pt idx="9">
                  <c:v>1636</c:v>
                </c:pt>
                <c:pt idx="10">
                  <c:v>1018</c:v>
                </c:pt>
                <c:pt idx="11">
                  <c:v>511</c:v>
                </c:pt>
                <c:pt idx="12">
                  <c:v>396</c:v>
                </c:pt>
                <c:pt idx="13">
                  <c:v>344</c:v>
                </c:pt>
                <c:pt idx="14">
                  <c:v>298</c:v>
                </c:pt>
                <c:pt idx="15">
                  <c:v>220</c:v>
                </c:pt>
                <c:pt idx="16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D7-4B84-A7DD-68D908D12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68016"/>
        <c:axId val="7537790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'20261007'!$D$6:$F$16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</c:v>
                        </c:pt>
                        <c:pt idx="1">
                          <c:v>2.4</c:v>
                        </c:pt>
                        <c:pt idx="2">
                          <c:v>2.6</c:v>
                        </c:pt>
                        <c:pt idx="3">
                          <c:v>2.75</c:v>
                        </c:pt>
                        <c:pt idx="4">
                          <c:v>2.9</c:v>
                        </c:pt>
                        <c:pt idx="5">
                          <c:v>3.05</c:v>
                        </c:pt>
                        <c:pt idx="6">
                          <c:v>3.3</c:v>
                        </c:pt>
                        <c:pt idx="7">
                          <c:v>3.6</c:v>
                        </c:pt>
                        <c:pt idx="8">
                          <c:v>4.1</c:v>
                        </c:pt>
                        <c:pt idx="9">
                          <c:v>4.9</c:v>
                        </c:pt>
                        <c:pt idx="10">
                          <c:v>5.65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2.40</c:v>
                        </c:pt>
                        <c:pt idx="2">
                          <c:v>2.60</c:v>
                        </c:pt>
                        <c:pt idx="3">
                          <c:v>2.75</c:v>
                        </c:pt>
                        <c:pt idx="4">
                          <c:v>2.90</c:v>
                        </c:pt>
                        <c:pt idx="5">
                          <c:v>3.05</c:v>
                        </c:pt>
                        <c:pt idx="6">
                          <c:v>3.30</c:v>
                        </c:pt>
                        <c:pt idx="7">
                          <c:v>3.60</c:v>
                        </c:pt>
                        <c:pt idx="8">
                          <c:v>4.10</c:v>
                        </c:pt>
                        <c:pt idx="9">
                          <c:v>4.90</c:v>
                        </c:pt>
                        <c:pt idx="10">
                          <c:v>5.65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'20261007'!$G$6:$G$16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10180</c:v>
                      </c:pt>
                      <c:pt idx="2">
                        <c:v>9162</c:v>
                      </c:pt>
                      <c:pt idx="3">
                        <c:v>8144</c:v>
                      </c:pt>
                      <c:pt idx="4">
                        <c:v>7126</c:v>
                      </c:pt>
                      <c:pt idx="5">
                        <c:v>6108</c:v>
                      </c:pt>
                      <c:pt idx="6">
                        <c:v>5090</c:v>
                      </c:pt>
                      <c:pt idx="7">
                        <c:v>4072</c:v>
                      </c:pt>
                      <c:pt idx="8">
                        <c:v>3054</c:v>
                      </c:pt>
                      <c:pt idx="9">
                        <c:v>2036</c:v>
                      </c:pt>
                      <c:pt idx="10">
                        <c:v>1636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CD7-4B84-A7DD-68D908D12915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'20261007'!$D$6:$F$16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</c:v>
                        </c:pt>
                        <c:pt idx="1">
                          <c:v>2.4</c:v>
                        </c:pt>
                        <c:pt idx="2">
                          <c:v>2.6</c:v>
                        </c:pt>
                        <c:pt idx="3">
                          <c:v>2.75</c:v>
                        </c:pt>
                        <c:pt idx="4">
                          <c:v>2.9</c:v>
                        </c:pt>
                        <c:pt idx="5">
                          <c:v>3.05</c:v>
                        </c:pt>
                        <c:pt idx="6">
                          <c:v>3.3</c:v>
                        </c:pt>
                        <c:pt idx="7">
                          <c:v>3.6</c:v>
                        </c:pt>
                        <c:pt idx="8">
                          <c:v>4.1</c:v>
                        </c:pt>
                        <c:pt idx="9">
                          <c:v>4.9</c:v>
                        </c:pt>
                        <c:pt idx="10">
                          <c:v>5.65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2.40</c:v>
                        </c:pt>
                        <c:pt idx="2">
                          <c:v>2.60</c:v>
                        </c:pt>
                        <c:pt idx="3">
                          <c:v>2.75</c:v>
                        </c:pt>
                        <c:pt idx="4">
                          <c:v>2.90</c:v>
                        </c:pt>
                        <c:pt idx="5">
                          <c:v>3.05</c:v>
                        </c:pt>
                        <c:pt idx="6">
                          <c:v>3.30</c:v>
                        </c:pt>
                        <c:pt idx="7">
                          <c:v>3.60</c:v>
                        </c:pt>
                        <c:pt idx="8">
                          <c:v>4.10</c:v>
                        </c:pt>
                        <c:pt idx="9">
                          <c:v>4.90</c:v>
                        </c:pt>
                        <c:pt idx="10">
                          <c:v>5.65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'20261007'!$H$6:$H$16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4.0077477780007396</c:v>
                      </c:pt>
                      <c:pt idx="2">
                        <c:v>3.9619902874400648</c:v>
                      </c:pt>
                      <c:pt idx="3">
                        <c:v>3.9108377649926833</c:v>
                      </c:pt>
                      <c:pt idx="4">
                        <c:v>3.8528458180149969</c:v>
                      </c:pt>
                      <c:pt idx="5">
                        <c:v>3.7858990283843834</c:v>
                      </c:pt>
                      <c:pt idx="6">
                        <c:v>3.7067177823367587</c:v>
                      </c:pt>
                      <c:pt idx="7">
                        <c:v>3.6098077693287025</c:v>
                      </c:pt>
                      <c:pt idx="8">
                        <c:v>3.4848690327204022</c:v>
                      </c:pt>
                      <c:pt idx="9">
                        <c:v>3.3087777736647213</c:v>
                      </c:pt>
                      <c:pt idx="10">
                        <c:v>3.2137832993353044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D7-4B84-A7DD-68D908D12915}"/>
                  </c:ext>
                </c:extLst>
              </c15:ser>
            </c15:filteredScatterSeries>
          </c:ext>
        </c:extLst>
      </c:scatterChart>
      <c:valAx>
        <c:axId val="81136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Travelled in Figure 1a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79040"/>
        <c:crosses val="autoZero"/>
        <c:crossBetween val="midCat"/>
      </c:valAx>
      <c:valAx>
        <c:axId val="7537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DNA Band (bp)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589494021580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DNA Band vs distance travelled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981155388062517E-2"/>
                  <c:y val="-0.17890932465760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'draft - 20261006'!$F$13:$F$29</c:f>
              <c:numCache>
                <c:formatCode>General</c:formatCode>
                <c:ptCount val="17"/>
                <c:pt idx="0">
                  <c:v>2.2999999999999998</c:v>
                </c:pt>
                <c:pt idx="1">
                  <c:v>2.6</c:v>
                </c:pt>
                <c:pt idx="2">
                  <c:v>2.7</c:v>
                </c:pt>
                <c:pt idx="3" formatCode="0.00">
                  <c:v>2.85</c:v>
                </c:pt>
                <c:pt idx="4" formatCode="0.00">
                  <c:v>3.05</c:v>
                </c:pt>
                <c:pt idx="5" formatCode="0.00">
                  <c:v>3.6</c:v>
                </c:pt>
                <c:pt idx="6" formatCode="0.00">
                  <c:v>4.05</c:v>
                </c:pt>
                <c:pt idx="7" formatCode="0.00">
                  <c:v>4.95</c:v>
                </c:pt>
                <c:pt idx="8" formatCode="0.00">
                  <c:v>5.65</c:v>
                </c:pt>
                <c:pt idx="9" formatCode="0.00">
                  <c:v>6.7</c:v>
                </c:pt>
                <c:pt idx="10" formatCode="0.00">
                  <c:v>7.15</c:v>
                </c:pt>
                <c:pt idx="11" formatCode="0.00">
                  <c:v>7.9</c:v>
                </c:pt>
                <c:pt idx="12" formatCode="0.00">
                  <c:v>8.5500000000000007</c:v>
                </c:pt>
                <c:pt idx="13" formatCode="0.00">
                  <c:v>9</c:v>
                </c:pt>
                <c:pt idx="14" formatCode="0.00">
                  <c:v>9.6</c:v>
                </c:pt>
                <c:pt idx="15" formatCode="0.00">
                  <c:v>10.199999999999999</c:v>
                </c:pt>
                <c:pt idx="16" formatCode="0.00">
                  <c:v>10.85</c:v>
                </c:pt>
              </c:numCache>
            </c:numRef>
          </c:xVal>
          <c:yVal>
            <c:numRef>
              <c:f>'draft - 20261006'!$G$13:$G$29</c:f>
              <c:numCache>
                <c:formatCode>General</c:formatCode>
                <c:ptCount val="17"/>
                <c:pt idx="0">
                  <c:v>10180</c:v>
                </c:pt>
                <c:pt idx="1">
                  <c:v>9162</c:v>
                </c:pt>
                <c:pt idx="2">
                  <c:v>8144</c:v>
                </c:pt>
                <c:pt idx="3">
                  <c:v>7126</c:v>
                </c:pt>
                <c:pt idx="4">
                  <c:v>6108</c:v>
                </c:pt>
                <c:pt idx="5">
                  <c:v>5090</c:v>
                </c:pt>
                <c:pt idx="6">
                  <c:v>4072</c:v>
                </c:pt>
                <c:pt idx="7">
                  <c:v>3054</c:v>
                </c:pt>
                <c:pt idx="8">
                  <c:v>2036</c:v>
                </c:pt>
                <c:pt idx="9">
                  <c:v>1636</c:v>
                </c:pt>
                <c:pt idx="10">
                  <c:v>1018</c:v>
                </c:pt>
                <c:pt idx="11">
                  <c:v>501</c:v>
                </c:pt>
                <c:pt idx="12">
                  <c:v>396</c:v>
                </c:pt>
                <c:pt idx="13">
                  <c:v>344</c:v>
                </c:pt>
                <c:pt idx="14">
                  <c:v>298</c:v>
                </c:pt>
                <c:pt idx="15">
                  <c:v>220</c:v>
                </c:pt>
                <c:pt idx="16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1-4C2C-92B5-06D6110D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68016"/>
        <c:axId val="7537790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'draft - 20261006'!$D$12:$F$22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cm, numeric</c:v>
                        </c:pt>
                        <c:pt idx="1">
                          <c:v>2.3</c:v>
                        </c:pt>
                        <c:pt idx="2">
                          <c:v>2.6</c:v>
                        </c:pt>
                        <c:pt idx="3">
                          <c:v>2.7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2.30</c:v>
                        </c:pt>
                        <c:pt idx="2">
                          <c:v>2.60</c:v>
                        </c:pt>
                        <c:pt idx="3">
                          <c:v>2.70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'draft - 20261006'!$G$12:$G$22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10180</c:v>
                      </c:pt>
                      <c:pt idx="2">
                        <c:v>9162</c:v>
                      </c:pt>
                      <c:pt idx="3">
                        <c:v>8144</c:v>
                      </c:pt>
                      <c:pt idx="4">
                        <c:v>7126</c:v>
                      </c:pt>
                      <c:pt idx="5">
                        <c:v>6108</c:v>
                      </c:pt>
                      <c:pt idx="6">
                        <c:v>5090</c:v>
                      </c:pt>
                      <c:pt idx="7">
                        <c:v>4072</c:v>
                      </c:pt>
                      <c:pt idx="8">
                        <c:v>3054</c:v>
                      </c:pt>
                      <c:pt idx="9">
                        <c:v>2036</c:v>
                      </c:pt>
                      <c:pt idx="10">
                        <c:v>1636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0B1-4C2C-92B5-06D6110DCAB7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- 20261006'!$D$12:$F$22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distance travelled - center, cm, numeric</c:v>
                        </c:pt>
                        <c:pt idx="1">
                          <c:v>2.3</c:v>
                        </c:pt>
                        <c:pt idx="2">
                          <c:v>2.6</c:v>
                        </c:pt>
                        <c:pt idx="3">
                          <c:v>2.7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distance travelled - center, cm, sig digs</c:v>
                        </c:pt>
                        <c:pt idx="1">
                          <c:v>2.30</c:v>
                        </c:pt>
                        <c:pt idx="2">
                          <c:v>2.60</c:v>
                        </c:pt>
                        <c:pt idx="3">
                          <c:v>2.70</c:v>
                        </c:pt>
                        <c:pt idx="4">
                          <c:v>2.85</c:v>
                        </c:pt>
                        <c:pt idx="5">
                          <c:v>3.05</c:v>
                        </c:pt>
                        <c:pt idx="6">
                          <c:v>3.60</c:v>
                        </c:pt>
                        <c:pt idx="7">
                          <c:v>4.05</c:v>
                        </c:pt>
                        <c:pt idx="8">
                          <c:v>4.95</c:v>
                        </c:pt>
                        <c:pt idx="9">
                          <c:v>5.65</c:v>
                        </c:pt>
                        <c:pt idx="10">
                          <c:v>6.70</c:v>
                        </c:pt>
                      </c:lvl>
                      <c:lvl>
                        <c:pt idx="0">
                          <c:v>Ladder band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- 20261006'!$H$12:$H$22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B1-4C2C-92B5-06D6110DCAB7}"/>
                  </c:ext>
                </c:extLst>
              </c15:ser>
            </c15:filteredScatterSeries>
          </c:ext>
        </c:extLst>
      </c:scatterChart>
      <c:valAx>
        <c:axId val="81136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Travelled in Figure 1a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79040"/>
        <c:crosses val="autoZero"/>
        <c:crossBetween val="midCat"/>
      </c:valAx>
      <c:valAx>
        <c:axId val="7537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DNA Band (bp)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589494021580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201704</xdr:colOff>
      <xdr:row>5</xdr:row>
      <xdr:rowOff>294716</xdr:rowOff>
    </xdr:from>
    <xdr:to>
      <xdr:col>17</xdr:col>
      <xdr:colOff>457199</xdr:colOff>
      <xdr:row>22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7B046-E926-460C-A9A2-DCC68792A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255493</xdr:colOff>
      <xdr:row>10</xdr:row>
      <xdr:rowOff>366433</xdr:rowOff>
    </xdr:from>
    <xdr:to>
      <xdr:col>15</xdr:col>
      <xdr:colOff>242046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A5915-8496-4C55-A46D-B27E4A025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255493</xdr:colOff>
      <xdr:row>30</xdr:row>
      <xdr:rowOff>366433</xdr:rowOff>
    </xdr:from>
    <xdr:to>
      <xdr:col>15</xdr:col>
      <xdr:colOff>242046</xdr:colOff>
      <xdr:row>41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91FDE2-BEFB-460B-B367-9AE225287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255493</xdr:colOff>
      <xdr:row>5</xdr:row>
      <xdr:rowOff>673</xdr:rowOff>
    </xdr:from>
    <xdr:to>
      <xdr:col>13</xdr:col>
      <xdr:colOff>487680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48EE1-E845-49D4-8106-D98CE8D1B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FE71-7361-404B-A4E8-8526B28DC847}">
  <dimension ref="C2:P39"/>
  <sheetViews>
    <sheetView tabSelected="1" topLeftCell="A18" zoomScale="85" zoomScaleNormal="85" workbookViewId="0">
      <selection activeCell="J38" sqref="J38"/>
    </sheetView>
  </sheetViews>
  <sheetFormatPr defaultRowHeight="14.4" x14ac:dyDescent="0.3"/>
  <cols>
    <col min="3" max="3" width="5.109375" customWidth="1"/>
    <col min="4" max="4" width="22" customWidth="1"/>
    <col min="5" max="5" width="12.44140625" customWidth="1"/>
    <col min="6" max="6" width="7.77734375" customWidth="1"/>
    <col min="7" max="7" width="16.44140625" customWidth="1"/>
    <col min="8" max="8" width="13.77734375" customWidth="1"/>
    <col min="9" max="9" width="14.6640625" customWidth="1"/>
    <col min="10" max="10" width="15" customWidth="1"/>
  </cols>
  <sheetData>
    <row r="2" spans="3:16" x14ac:dyDescent="0.3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5" spans="3:16" ht="28.8" x14ac:dyDescent="0.3">
      <c r="C5" s="1"/>
      <c r="D5" s="1" t="s">
        <v>4</v>
      </c>
      <c r="E5" s="1"/>
      <c r="F5" s="1"/>
      <c r="G5" s="1" t="s">
        <v>23</v>
      </c>
      <c r="H5" s="1"/>
    </row>
    <row r="6" spans="3:16" ht="86.4" x14ac:dyDescent="0.3">
      <c r="C6" s="1"/>
      <c r="D6" s="1" t="s">
        <v>11</v>
      </c>
      <c r="E6" s="1" t="s">
        <v>10</v>
      </c>
      <c r="F6" s="1" t="s">
        <v>73</v>
      </c>
      <c r="G6" s="1" t="s">
        <v>25</v>
      </c>
      <c r="H6" s="1" t="s">
        <v>71</v>
      </c>
    </row>
    <row r="7" spans="3:16" x14ac:dyDescent="0.3">
      <c r="C7" s="4"/>
      <c r="D7" s="4" t="s">
        <v>55</v>
      </c>
      <c r="E7" s="4">
        <v>1</v>
      </c>
      <c r="F7" s="1">
        <v>2.4</v>
      </c>
      <c r="G7" s="1">
        <v>10180</v>
      </c>
      <c r="H7" s="1">
        <f>LOG10(G7)</f>
        <v>4.0077477780007396</v>
      </c>
    </row>
    <row r="8" spans="3:16" x14ac:dyDescent="0.3">
      <c r="C8" s="4"/>
      <c r="D8" s="4" t="s">
        <v>14</v>
      </c>
      <c r="E8" s="4">
        <v>2</v>
      </c>
      <c r="F8" s="1">
        <v>2.6</v>
      </c>
      <c r="G8" s="1">
        <v>9162</v>
      </c>
      <c r="H8" s="1">
        <f t="shared" ref="H8:H24" si="0">LOG10(G8)</f>
        <v>3.9619902874400648</v>
      </c>
    </row>
    <row r="9" spans="3:16" x14ac:dyDescent="0.3">
      <c r="C9" s="4"/>
      <c r="D9" s="4" t="s">
        <v>54</v>
      </c>
      <c r="E9" s="4">
        <v>3</v>
      </c>
      <c r="F9" s="1">
        <v>2.75</v>
      </c>
      <c r="G9" s="1">
        <v>8144</v>
      </c>
      <c r="H9" s="1">
        <f t="shared" si="0"/>
        <v>3.9108377649926833</v>
      </c>
    </row>
    <row r="10" spans="3:16" x14ac:dyDescent="0.3">
      <c r="C10" s="4"/>
      <c r="D10" s="4" t="s">
        <v>53</v>
      </c>
      <c r="E10" s="4">
        <v>4</v>
      </c>
      <c r="F10" s="1">
        <v>2.9</v>
      </c>
      <c r="G10" s="1">
        <v>7126</v>
      </c>
      <c r="H10" s="1">
        <f t="shared" si="0"/>
        <v>3.8528458180149969</v>
      </c>
    </row>
    <row r="11" spans="3:16" x14ac:dyDescent="0.3">
      <c r="C11" s="4"/>
      <c r="D11" s="4" t="s">
        <v>15</v>
      </c>
      <c r="E11" s="4">
        <v>5</v>
      </c>
      <c r="F11" s="1">
        <v>3.05</v>
      </c>
      <c r="G11" s="1">
        <v>6108</v>
      </c>
      <c r="H11" s="1">
        <f t="shared" si="0"/>
        <v>3.7858990283843834</v>
      </c>
    </row>
    <row r="12" spans="3:16" x14ac:dyDescent="0.3">
      <c r="C12" s="4"/>
      <c r="D12" s="4" t="s">
        <v>52</v>
      </c>
      <c r="E12" s="4">
        <v>6</v>
      </c>
      <c r="F12" s="1">
        <v>3.3</v>
      </c>
      <c r="G12" s="1">
        <v>5090</v>
      </c>
      <c r="H12" s="1">
        <f t="shared" si="0"/>
        <v>3.7067177823367587</v>
      </c>
    </row>
    <row r="13" spans="3:16" x14ac:dyDescent="0.3">
      <c r="C13" s="4"/>
      <c r="D13" s="4" t="s">
        <v>16</v>
      </c>
      <c r="E13" s="4">
        <v>7</v>
      </c>
      <c r="F13" s="1">
        <v>3.6</v>
      </c>
      <c r="G13" s="1">
        <v>4072</v>
      </c>
      <c r="H13" s="1">
        <f t="shared" si="0"/>
        <v>3.6098077693287025</v>
      </c>
    </row>
    <row r="14" spans="3:16" x14ac:dyDescent="0.3">
      <c r="C14" s="4"/>
      <c r="D14" s="4" t="s">
        <v>50</v>
      </c>
      <c r="E14" s="4">
        <v>8</v>
      </c>
      <c r="F14" s="1">
        <v>4.0999999999999996</v>
      </c>
      <c r="G14" s="1">
        <v>3054</v>
      </c>
      <c r="H14" s="1">
        <f t="shared" si="0"/>
        <v>3.4848690327204022</v>
      </c>
    </row>
    <row r="15" spans="3:16" x14ac:dyDescent="0.3">
      <c r="C15" s="4"/>
      <c r="D15" s="4" t="s">
        <v>49</v>
      </c>
      <c r="E15" s="4">
        <v>9</v>
      </c>
      <c r="F15" s="1">
        <v>4.9000000000000004</v>
      </c>
      <c r="G15" s="1">
        <v>2036</v>
      </c>
      <c r="H15" s="1">
        <f t="shared" si="0"/>
        <v>3.3087777736647213</v>
      </c>
    </row>
    <row r="16" spans="3:16" x14ac:dyDescent="0.3">
      <c r="C16" s="4"/>
      <c r="D16" s="4" t="s">
        <v>18</v>
      </c>
      <c r="E16" s="4">
        <v>10</v>
      </c>
      <c r="F16" s="1">
        <v>5.65</v>
      </c>
      <c r="G16" s="1">
        <v>1636</v>
      </c>
      <c r="H16" s="1">
        <f t="shared" si="0"/>
        <v>3.2137832993353044</v>
      </c>
    </row>
    <row r="17" spans="3:10" x14ac:dyDescent="0.3">
      <c r="C17" s="4"/>
      <c r="D17" s="4" t="s">
        <v>56</v>
      </c>
      <c r="E17" s="4">
        <v>11</v>
      </c>
      <c r="F17" s="1">
        <v>6.65</v>
      </c>
      <c r="G17" s="1">
        <v>1018</v>
      </c>
      <c r="H17" s="1">
        <f t="shared" si="0"/>
        <v>3.00774777800074</v>
      </c>
    </row>
    <row r="18" spans="3:10" x14ac:dyDescent="0.3">
      <c r="C18" s="4"/>
      <c r="D18" s="4" t="s">
        <v>57</v>
      </c>
      <c r="E18" s="4">
        <v>12</v>
      </c>
      <c r="F18" s="1">
        <v>7.15</v>
      </c>
      <c r="G18" s="1">
        <v>511</v>
      </c>
      <c r="H18" s="1">
        <f t="shared" si="0"/>
        <v>2.7084209001347128</v>
      </c>
    </row>
    <row r="19" spans="3:10" x14ac:dyDescent="0.3">
      <c r="C19" s="4"/>
      <c r="D19" s="4" t="s">
        <v>58</v>
      </c>
      <c r="E19" s="4">
        <v>13</v>
      </c>
      <c r="F19" s="1">
        <v>7.8</v>
      </c>
      <c r="G19" s="1">
        <v>396</v>
      </c>
      <c r="H19" s="1">
        <f t="shared" si="0"/>
        <v>2.5976951859255122</v>
      </c>
    </row>
    <row r="20" spans="3:10" x14ac:dyDescent="0.3">
      <c r="C20" s="4"/>
      <c r="D20" s="4" t="s">
        <v>59</v>
      </c>
      <c r="E20" s="4">
        <v>14</v>
      </c>
      <c r="F20" s="1">
        <v>8.4499999999999993</v>
      </c>
      <c r="G20" s="1">
        <v>344</v>
      </c>
      <c r="H20" s="1">
        <f t="shared" si="0"/>
        <v>2.53655844257153</v>
      </c>
    </row>
    <row r="21" spans="3:10" x14ac:dyDescent="0.3">
      <c r="C21" s="4"/>
      <c r="D21" s="4" t="s">
        <v>60</v>
      </c>
      <c r="E21" s="4">
        <v>15</v>
      </c>
      <c r="F21" s="1">
        <v>8.9499999999999993</v>
      </c>
      <c r="G21" s="1">
        <v>298</v>
      </c>
      <c r="H21" s="1">
        <f t="shared" si="0"/>
        <v>2.4742162640762553</v>
      </c>
    </row>
    <row r="22" spans="3:10" x14ac:dyDescent="0.3">
      <c r="C22" s="4"/>
      <c r="D22" s="4" t="s">
        <v>61</v>
      </c>
      <c r="E22" s="4">
        <v>16</v>
      </c>
      <c r="F22" s="1">
        <v>9.5</v>
      </c>
      <c r="G22" s="1">
        <v>220</v>
      </c>
      <c r="H22" s="1">
        <f t="shared" si="0"/>
        <v>2.3424226808222062</v>
      </c>
    </row>
    <row r="23" spans="3:10" x14ac:dyDescent="0.3">
      <c r="C23" s="4"/>
      <c r="D23" s="4" t="s">
        <v>62</v>
      </c>
      <c r="E23" s="4">
        <v>17</v>
      </c>
      <c r="F23" s="1">
        <v>10.15</v>
      </c>
      <c r="G23" s="1">
        <v>201</v>
      </c>
      <c r="H23" s="1">
        <f t="shared" si="0"/>
        <v>2.3031960574204891</v>
      </c>
    </row>
    <row r="24" spans="3:10" x14ac:dyDescent="0.3">
      <c r="C24" s="4"/>
      <c r="D24" s="4" t="s">
        <v>63</v>
      </c>
      <c r="E24" s="4">
        <v>18</v>
      </c>
      <c r="F24" s="1">
        <v>10.8</v>
      </c>
      <c r="G24" s="1">
        <v>154</v>
      </c>
      <c r="H24" s="1">
        <f t="shared" si="0"/>
        <v>2.1875207208364631</v>
      </c>
    </row>
    <row r="27" spans="3:10" x14ac:dyDescent="0.3">
      <c r="D27" t="s">
        <v>4</v>
      </c>
      <c r="F27" s="1"/>
    </row>
    <row r="28" spans="3:10" ht="28.8" x14ac:dyDescent="0.3">
      <c r="D28" s="1" t="s">
        <v>11</v>
      </c>
      <c r="E28" s="1" t="s">
        <v>44</v>
      </c>
      <c r="F28" s="1" t="s">
        <v>45</v>
      </c>
      <c r="G28" s="1" t="s">
        <v>73</v>
      </c>
      <c r="H28" s="1" t="s">
        <v>72</v>
      </c>
      <c r="I28" s="1" t="s">
        <v>25</v>
      </c>
      <c r="J28" s="1" t="s">
        <v>70</v>
      </c>
    </row>
    <row r="29" spans="3:10" x14ac:dyDescent="0.3">
      <c r="D29" s="1" t="s">
        <v>64</v>
      </c>
      <c r="E29" s="1">
        <v>2</v>
      </c>
      <c r="F29" s="4" t="s">
        <v>46</v>
      </c>
      <c r="G29" s="1">
        <v>3.35</v>
      </c>
      <c r="H29" s="1">
        <f>(-0.2225*G29)+4.4609</f>
        <v>3.7155249999999995</v>
      </c>
      <c r="I29" s="1">
        <f>POWER(10,H29)</f>
        <v>5194.2757330109334</v>
      </c>
      <c r="J29" s="1">
        <f>ROUND(I29/1000, 1)</f>
        <v>5.2</v>
      </c>
    </row>
    <row r="30" spans="3:10" x14ac:dyDescent="0.3">
      <c r="D30" t="s">
        <v>65</v>
      </c>
      <c r="E30" s="1">
        <v>2</v>
      </c>
      <c r="F30" s="4" t="s">
        <v>47</v>
      </c>
      <c r="G30" s="1">
        <v>3.65</v>
      </c>
      <c r="H30" s="1">
        <f t="shared" ref="H30:H39" si="1">(-0.2225*G30)+4.4609</f>
        <v>3.6487749999999997</v>
      </c>
      <c r="I30" s="1">
        <f t="shared" ref="I30:I39" si="2">POWER(10,H30)</f>
        <v>4454.2542187347317</v>
      </c>
      <c r="J30" s="1">
        <f t="shared" ref="J30:J39" si="3">ROUND(I30/1000, 1)</f>
        <v>4.5</v>
      </c>
    </row>
    <row r="31" spans="3:10" x14ac:dyDescent="0.3">
      <c r="D31" t="s">
        <v>35</v>
      </c>
      <c r="E31" s="1">
        <v>2</v>
      </c>
      <c r="F31" s="4" t="s">
        <v>48</v>
      </c>
      <c r="G31" s="1">
        <v>5.3</v>
      </c>
      <c r="H31" s="1">
        <f t="shared" si="1"/>
        <v>3.28165</v>
      </c>
      <c r="I31" s="1">
        <f t="shared" si="2"/>
        <v>1912.713838487012</v>
      </c>
      <c r="J31" s="1">
        <f t="shared" si="3"/>
        <v>1.9</v>
      </c>
    </row>
    <row r="32" spans="3:10" x14ac:dyDescent="0.3">
      <c r="D32" t="s">
        <v>66</v>
      </c>
      <c r="E32" s="1">
        <v>3</v>
      </c>
      <c r="F32" s="4" t="s">
        <v>46</v>
      </c>
      <c r="G32" s="1">
        <v>3.75</v>
      </c>
      <c r="H32" s="1">
        <f t="shared" si="1"/>
        <v>3.6265249999999996</v>
      </c>
      <c r="I32" s="1">
        <f t="shared" si="2"/>
        <v>4231.7986920694939</v>
      </c>
      <c r="J32" s="1">
        <f t="shared" si="3"/>
        <v>4.2</v>
      </c>
    </row>
    <row r="33" spans="4:10" x14ac:dyDescent="0.3">
      <c r="D33" t="s">
        <v>33</v>
      </c>
      <c r="E33" s="1">
        <v>3</v>
      </c>
      <c r="F33" s="4" t="s">
        <v>48</v>
      </c>
      <c r="G33" s="1">
        <v>5.4</v>
      </c>
      <c r="H33" s="1">
        <f t="shared" si="1"/>
        <v>3.2593999999999994</v>
      </c>
      <c r="I33" s="1">
        <f t="shared" si="2"/>
        <v>1817.1885847844089</v>
      </c>
      <c r="J33" s="1">
        <f t="shared" si="3"/>
        <v>1.8</v>
      </c>
    </row>
    <row r="34" spans="4:10" x14ac:dyDescent="0.3">
      <c r="D34" t="s">
        <v>67</v>
      </c>
      <c r="E34" s="1">
        <v>4</v>
      </c>
      <c r="F34" s="4" t="s">
        <v>46</v>
      </c>
      <c r="G34" s="1">
        <v>4.3</v>
      </c>
      <c r="H34" s="1">
        <f t="shared" si="1"/>
        <v>3.5041499999999997</v>
      </c>
      <c r="I34" s="1">
        <f t="shared" si="2"/>
        <v>3192.6403636096097</v>
      </c>
      <c r="J34" s="1">
        <f t="shared" si="3"/>
        <v>3.2</v>
      </c>
    </row>
    <row r="35" spans="4:10" x14ac:dyDescent="0.3">
      <c r="D35" t="s">
        <v>68</v>
      </c>
      <c r="E35" s="1">
        <v>4</v>
      </c>
      <c r="F35" s="4" t="s">
        <v>47</v>
      </c>
      <c r="G35" s="1">
        <v>5.25</v>
      </c>
      <c r="H35" s="1">
        <f t="shared" si="1"/>
        <v>3.2927749999999998</v>
      </c>
      <c r="I35" s="1">
        <f t="shared" si="2"/>
        <v>1962.343359358169</v>
      </c>
      <c r="J35" s="1">
        <f t="shared" si="3"/>
        <v>2</v>
      </c>
    </row>
    <row r="36" spans="4:10" x14ac:dyDescent="0.3">
      <c r="D36" t="s">
        <v>69</v>
      </c>
      <c r="E36" s="1">
        <v>4</v>
      </c>
      <c r="F36" s="4" t="s">
        <v>48</v>
      </c>
      <c r="G36" s="1">
        <v>8.6999999999999993</v>
      </c>
      <c r="H36" s="1">
        <f t="shared" si="1"/>
        <v>2.52515</v>
      </c>
      <c r="I36" s="1">
        <f t="shared" si="2"/>
        <v>335.08115210362638</v>
      </c>
      <c r="J36" s="1">
        <f t="shared" si="3"/>
        <v>0.3</v>
      </c>
    </row>
    <row r="37" spans="4:10" x14ac:dyDescent="0.3">
      <c r="D37" t="s">
        <v>51</v>
      </c>
      <c r="E37" s="1">
        <v>5</v>
      </c>
      <c r="F37" s="4" t="s">
        <v>46</v>
      </c>
      <c r="G37" s="1">
        <v>3.4</v>
      </c>
      <c r="H37" s="1">
        <f t="shared" si="1"/>
        <v>3.7043999999999997</v>
      </c>
      <c r="I37" s="1">
        <f t="shared" si="2"/>
        <v>5062.9075834602172</v>
      </c>
      <c r="J37" s="1">
        <f t="shared" si="3"/>
        <v>5.0999999999999996</v>
      </c>
    </row>
    <row r="38" spans="4:10" x14ac:dyDescent="0.3">
      <c r="D38" t="s">
        <v>21</v>
      </c>
      <c r="E38" s="1">
        <v>5</v>
      </c>
      <c r="F38" s="4" t="s">
        <v>47</v>
      </c>
      <c r="G38" s="1">
        <v>4.05</v>
      </c>
      <c r="H38" s="1">
        <f t="shared" si="1"/>
        <v>3.5597749999999997</v>
      </c>
      <c r="I38" s="1">
        <f t="shared" si="2"/>
        <v>3628.8999941210832</v>
      </c>
      <c r="J38" s="1">
        <f t="shared" si="3"/>
        <v>3.6</v>
      </c>
    </row>
    <row r="39" spans="4:10" x14ac:dyDescent="0.3">
      <c r="D39" t="s">
        <v>68</v>
      </c>
      <c r="E39" s="1">
        <v>5</v>
      </c>
      <c r="F39" s="4" t="s">
        <v>48</v>
      </c>
      <c r="G39" s="1">
        <v>5.25</v>
      </c>
      <c r="H39" s="1">
        <f t="shared" si="1"/>
        <v>3.2927749999999998</v>
      </c>
      <c r="I39" s="1">
        <f t="shared" si="2"/>
        <v>1962.343359358169</v>
      </c>
      <c r="J39" s="1">
        <f t="shared" si="3"/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9D91-BFDC-4ADB-B0BC-2E2CD80B9A61}">
  <dimension ref="D2:R49"/>
  <sheetViews>
    <sheetView topLeftCell="A14" zoomScale="85" zoomScaleNormal="85" workbookViewId="0">
      <selection activeCell="C35" sqref="C35"/>
    </sheetView>
  </sheetViews>
  <sheetFormatPr defaultRowHeight="14.4" x14ac:dyDescent="0.3"/>
  <cols>
    <col min="5" max="5" width="10.33203125" customWidth="1"/>
    <col min="6" max="6" width="9.88671875" customWidth="1"/>
    <col min="7" max="7" width="11.77734375" customWidth="1"/>
    <col min="8" max="8" width="11" customWidth="1"/>
  </cols>
  <sheetData>
    <row r="2" spans="4:18" ht="43.2" x14ac:dyDescent="0.3">
      <c r="E2" s="1" t="s">
        <v>4</v>
      </c>
      <c r="F2" s="1" t="s">
        <v>4</v>
      </c>
      <c r="G2" s="1" t="s">
        <v>4</v>
      </c>
      <c r="H2" s="1" t="s">
        <v>4</v>
      </c>
      <c r="I2" s="1"/>
      <c r="J2" s="1"/>
      <c r="K2" s="1"/>
      <c r="L2" s="1"/>
      <c r="M2" s="1"/>
      <c r="N2" s="1"/>
      <c r="O2" s="1"/>
      <c r="P2" s="1"/>
    </row>
    <row r="3" spans="4:18" ht="72" x14ac:dyDescent="0.3">
      <c r="E3" s="1" t="s">
        <v>5</v>
      </c>
      <c r="F3" s="1" t="s">
        <v>6</v>
      </c>
      <c r="G3" s="1" t="s">
        <v>28</v>
      </c>
      <c r="H3" s="1" t="s">
        <v>29</v>
      </c>
      <c r="I3" s="1" t="s">
        <v>5</v>
      </c>
      <c r="J3" s="1" t="s">
        <v>6</v>
      </c>
      <c r="K3" s="1" t="s">
        <v>28</v>
      </c>
      <c r="L3" s="1" t="s">
        <v>29</v>
      </c>
      <c r="M3" s="1" t="s">
        <v>26</v>
      </c>
      <c r="N3" s="1" t="s">
        <v>27</v>
      </c>
      <c r="O3" s="1" t="s">
        <v>24</v>
      </c>
      <c r="P3" s="1" t="s">
        <v>36</v>
      </c>
      <c r="Q3" s="1" t="s">
        <v>37</v>
      </c>
      <c r="R3" s="1" t="s">
        <v>38</v>
      </c>
    </row>
    <row r="4" spans="4:18" x14ac:dyDescent="0.3">
      <c r="D4" t="s">
        <v>0</v>
      </c>
      <c r="E4" s="2" t="s">
        <v>30</v>
      </c>
      <c r="F4" s="2" t="s">
        <v>33</v>
      </c>
      <c r="G4" s="2"/>
      <c r="H4" s="2"/>
      <c r="I4" s="3">
        <v>5.2</v>
      </c>
      <c r="J4" s="3">
        <v>5.4</v>
      </c>
      <c r="K4" s="3"/>
      <c r="L4" s="3"/>
      <c r="M4" s="3">
        <f>(J4+I4)/2</f>
        <v>5.3000000000000007</v>
      </c>
      <c r="O4">
        <f>(-1073.3*M4)+9925.9</f>
        <v>4237.4099999999989</v>
      </c>
      <c r="P4" s="2"/>
      <c r="Q4">
        <v>5.8</v>
      </c>
      <c r="R4" s="2"/>
    </row>
    <row r="5" spans="4:18" x14ac:dyDescent="0.3">
      <c r="D5" t="s">
        <v>1</v>
      </c>
      <c r="E5" s="2" t="s">
        <v>16</v>
      </c>
      <c r="F5" s="2" t="s">
        <v>32</v>
      </c>
      <c r="G5" s="2" t="s">
        <v>30</v>
      </c>
      <c r="H5" s="2" t="s">
        <v>34</v>
      </c>
      <c r="I5" s="3">
        <v>3.6</v>
      </c>
      <c r="J5" s="3">
        <v>3.8</v>
      </c>
      <c r="K5" s="3">
        <v>5.2</v>
      </c>
      <c r="L5" s="3">
        <v>5.6</v>
      </c>
      <c r="M5" s="3">
        <f>(J5+I5)/2</f>
        <v>3.7</v>
      </c>
      <c r="N5" s="3">
        <f>(L5+K5)/2</f>
        <v>5.4</v>
      </c>
      <c r="O5">
        <f>(-1073.3*M5)+9925.9</f>
        <v>5954.69</v>
      </c>
      <c r="P5">
        <f>(-1073.3*N5)+9925.9</f>
        <v>4130.08</v>
      </c>
      <c r="Q5">
        <v>7.9</v>
      </c>
      <c r="R5">
        <v>5.6</v>
      </c>
    </row>
    <row r="6" spans="4:18" x14ac:dyDescent="0.3">
      <c r="D6" t="s">
        <v>2</v>
      </c>
      <c r="E6" s="2" t="s">
        <v>31</v>
      </c>
      <c r="F6" s="2">
        <v>4.55</v>
      </c>
      <c r="G6" s="2"/>
      <c r="H6" s="2"/>
      <c r="I6" s="3" t="s">
        <v>7</v>
      </c>
      <c r="J6" s="3">
        <v>4.55</v>
      </c>
      <c r="K6" s="3"/>
      <c r="L6" s="3"/>
      <c r="M6" s="3">
        <f>(J6+I6)/2</f>
        <v>4.2750000000000004</v>
      </c>
      <c r="O6">
        <f>(-1073.3*M6)+9925.9</f>
        <v>5337.5424999999996</v>
      </c>
      <c r="Q6">
        <v>7.1</v>
      </c>
      <c r="R6" s="2"/>
    </row>
    <row r="7" spans="4:18" x14ac:dyDescent="0.3">
      <c r="D7" t="s">
        <v>3</v>
      </c>
      <c r="E7" s="2" t="s">
        <v>32</v>
      </c>
      <c r="F7" s="2" t="s">
        <v>9</v>
      </c>
      <c r="G7" s="2" t="s">
        <v>30</v>
      </c>
      <c r="H7" s="2" t="s">
        <v>35</v>
      </c>
      <c r="I7" s="3" t="s">
        <v>8</v>
      </c>
      <c r="J7" s="3" t="s">
        <v>9</v>
      </c>
      <c r="K7" s="3">
        <v>5.2</v>
      </c>
      <c r="L7" s="3">
        <v>5.6</v>
      </c>
      <c r="M7" s="3">
        <f>(J7+I7)/2</f>
        <v>3.9750000000000001</v>
      </c>
      <c r="N7" s="3">
        <f>(L7+K7)/2</f>
        <v>5.4</v>
      </c>
      <c r="O7">
        <f>(-1073.3*M7)+9925.9</f>
        <v>5659.5324999999993</v>
      </c>
      <c r="P7">
        <f>(-1073.3*N7)+9925.9</f>
        <v>4130.08</v>
      </c>
      <c r="Q7">
        <v>7.5</v>
      </c>
      <c r="R7">
        <v>5.6</v>
      </c>
    </row>
    <row r="8" spans="4:18" x14ac:dyDescent="0.3">
      <c r="I8" s="2"/>
      <c r="J8" s="2"/>
      <c r="K8" s="2"/>
      <c r="L8" s="2"/>
    </row>
    <row r="11" spans="4:18" ht="57.6" x14ac:dyDescent="0.3">
      <c r="E11" s="1" t="s">
        <v>4</v>
      </c>
      <c r="G11" s="1" t="s">
        <v>23</v>
      </c>
    </row>
    <row r="12" spans="4:18" ht="72" x14ac:dyDescent="0.3">
      <c r="D12" s="1" t="s">
        <v>10</v>
      </c>
      <c r="E12" s="1" t="s">
        <v>11</v>
      </c>
      <c r="F12" s="1" t="s">
        <v>12</v>
      </c>
      <c r="G12" s="1" t="s">
        <v>25</v>
      </c>
    </row>
    <row r="13" spans="4:18" x14ac:dyDescent="0.3">
      <c r="D13">
        <v>1</v>
      </c>
      <c r="E13" s="2" t="s">
        <v>13</v>
      </c>
      <c r="F13">
        <v>2.2999999999999998</v>
      </c>
      <c r="G13">
        <v>10180</v>
      </c>
    </row>
    <row r="14" spans="4:18" x14ac:dyDescent="0.3">
      <c r="D14">
        <v>2</v>
      </c>
      <c r="E14" s="2" t="s">
        <v>14</v>
      </c>
      <c r="F14">
        <v>2.6</v>
      </c>
      <c r="G14">
        <v>9162</v>
      </c>
    </row>
    <row r="15" spans="4:18" x14ac:dyDescent="0.3">
      <c r="D15">
        <v>3</v>
      </c>
      <c r="E15" s="2" t="s">
        <v>19</v>
      </c>
      <c r="F15">
        <v>2.7</v>
      </c>
      <c r="G15">
        <v>8144</v>
      </c>
    </row>
    <row r="16" spans="4:18" x14ac:dyDescent="0.3">
      <c r="D16">
        <v>4</v>
      </c>
      <c r="E16" s="2" t="s">
        <v>20</v>
      </c>
      <c r="F16" s="3">
        <v>2.85</v>
      </c>
      <c r="G16">
        <v>7126</v>
      </c>
    </row>
    <row r="17" spans="4:7" x14ac:dyDescent="0.3">
      <c r="D17">
        <v>5</v>
      </c>
      <c r="E17" s="2" t="s">
        <v>15</v>
      </c>
      <c r="F17" s="3">
        <v>3.05</v>
      </c>
      <c r="G17">
        <v>6108</v>
      </c>
    </row>
    <row r="18" spans="4:7" x14ac:dyDescent="0.3">
      <c r="D18">
        <v>6</v>
      </c>
      <c r="E18" s="2" t="s">
        <v>16</v>
      </c>
      <c r="F18" s="3">
        <v>3.6</v>
      </c>
      <c r="G18">
        <v>5090</v>
      </c>
    </row>
    <row r="19" spans="4:7" x14ac:dyDescent="0.3">
      <c r="D19">
        <v>7</v>
      </c>
      <c r="E19" s="2" t="s">
        <v>21</v>
      </c>
      <c r="F19" s="3">
        <v>4.05</v>
      </c>
      <c r="G19">
        <v>4072</v>
      </c>
    </row>
    <row r="20" spans="4:7" x14ac:dyDescent="0.3">
      <c r="D20">
        <v>8</v>
      </c>
      <c r="E20" s="2" t="s">
        <v>17</v>
      </c>
      <c r="F20" s="3">
        <v>4.95</v>
      </c>
      <c r="G20">
        <v>3054</v>
      </c>
    </row>
    <row r="21" spans="4:7" x14ac:dyDescent="0.3">
      <c r="D21">
        <v>9</v>
      </c>
      <c r="E21" s="2" t="s">
        <v>18</v>
      </c>
      <c r="F21" s="3">
        <v>5.65</v>
      </c>
      <c r="G21">
        <v>2036</v>
      </c>
    </row>
    <row r="22" spans="4:7" x14ac:dyDescent="0.3">
      <c r="D22">
        <v>10</v>
      </c>
      <c r="E22" s="2" t="s">
        <v>22</v>
      </c>
      <c r="F22" s="3">
        <v>6.7</v>
      </c>
      <c r="G22">
        <v>1636</v>
      </c>
    </row>
    <row r="23" spans="4:7" x14ac:dyDescent="0.3">
      <c r="D23">
        <v>11</v>
      </c>
      <c r="E23" s="2">
        <v>7.15</v>
      </c>
      <c r="F23" s="3">
        <v>7.15</v>
      </c>
      <c r="G23">
        <v>1018</v>
      </c>
    </row>
    <row r="24" spans="4:7" x14ac:dyDescent="0.3">
      <c r="D24">
        <v>12</v>
      </c>
      <c r="E24" s="2" t="s">
        <v>39</v>
      </c>
      <c r="F24" s="3">
        <v>7.9</v>
      </c>
      <c r="G24">
        <v>501</v>
      </c>
    </row>
    <row r="25" spans="4:7" x14ac:dyDescent="0.3">
      <c r="D25">
        <v>13</v>
      </c>
      <c r="E25" s="2" t="s">
        <v>40</v>
      </c>
      <c r="F25" s="3">
        <v>8.5500000000000007</v>
      </c>
      <c r="G25">
        <v>396</v>
      </c>
    </row>
    <row r="26" spans="4:7" x14ac:dyDescent="0.3">
      <c r="D26">
        <v>14</v>
      </c>
      <c r="E26" s="2" t="s">
        <v>41</v>
      </c>
      <c r="F26" s="3">
        <v>9</v>
      </c>
      <c r="G26">
        <v>344</v>
      </c>
    </row>
    <row r="27" spans="4:7" x14ac:dyDescent="0.3">
      <c r="D27">
        <v>15</v>
      </c>
      <c r="E27" s="2" t="s">
        <v>42</v>
      </c>
      <c r="F27" s="3">
        <v>9.6</v>
      </c>
      <c r="G27">
        <v>298</v>
      </c>
    </row>
    <row r="28" spans="4:7" x14ac:dyDescent="0.3">
      <c r="D28">
        <v>16</v>
      </c>
      <c r="E28" s="2" t="s">
        <v>43</v>
      </c>
      <c r="F28" s="3">
        <v>10.199999999999999</v>
      </c>
      <c r="G28">
        <v>220</v>
      </c>
    </row>
    <row r="29" spans="4:7" x14ac:dyDescent="0.3">
      <c r="D29">
        <v>17</v>
      </c>
      <c r="E29" s="2">
        <v>10.85</v>
      </c>
      <c r="F29" s="3">
        <v>10.85</v>
      </c>
      <c r="G29">
        <v>201</v>
      </c>
    </row>
    <row r="31" spans="4:7" ht="43.2" x14ac:dyDescent="0.3">
      <c r="E31" s="1" t="s">
        <v>4</v>
      </c>
      <c r="G31" s="1" t="s">
        <v>23</v>
      </c>
    </row>
    <row r="32" spans="4:7" ht="72" x14ac:dyDescent="0.3">
      <c r="D32" s="1" t="s">
        <v>10</v>
      </c>
      <c r="E32" s="1" t="s">
        <v>11</v>
      </c>
      <c r="F32" s="1" t="s">
        <v>12</v>
      </c>
      <c r="G32" s="1" t="s">
        <v>25</v>
      </c>
    </row>
    <row r="33" spans="4:7" x14ac:dyDescent="0.3">
      <c r="D33">
        <v>1</v>
      </c>
      <c r="E33" s="2" t="s">
        <v>13</v>
      </c>
      <c r="F33">
        <v>2.2999999999999998</v>
      </c>
      <c r="G33">
        <v>10180</v>
      </c>
    </row>
    <row r="34" spans="4:7" x14ac:dyDescent="0.3">
      <c r="D34">
        <v>2</v>
      </c>
      <c r="E34" s="2" t="s">
        <v>14</v>
      </c>
      <c r="F34">
        <v>2.6</v>
      </c>
      <c r="G34">
        <v>9162</v>
      </c>
    </row>
    <row r="35" spans="4:7" x14ac:dyDescent="0.3">
      <c r="D35">
        <v>3</v>
      </c>
      <c r="E35" s="2" t="s">
        <v>19</v>
      </c>
      <c r="F35">
        <v>2.7</v>
      </c>
      <c r="G35">
        <v>8144</v>
      </c>
    </row>
    <row r="36" spans="4:7" x14ac:dyDescent="0.3">
      <c r="D36">
        <v>4</v>
      </c>
      <c r="E36" s="2" t="s">
        <v>20</v>
      </c>
      <c r="F36" s="3">
        <v>2.85</v>
      </c>
      <c r="G36">
        <v>7126</v>
      </c>
    </row>
    <row r="37" spans="4:7" x14ac:dyDescent="0.3">
      <c r="D37">
        <v>5</v>
      </c>
      <c r="E37" s="2" t="s">
        <v>15</v>
      </c>
      <c r="F37" s="3">
        <v>3.05</v>
      </c>
      <c r="G37">
        <v>6108</v>
      </c>
    </row>
    <row r="38" spans="4:7" x14ac:dyDescent="0.3">
      <c r="D38">
        <v>6</v>
      </c>
      <c r="E38" s="2" t="s">
        <v>16</v>
      </c>
      <c r="F38" s="3">
        <v>3.6</v>
      </c>
      <c r="G38">
        <v>5090</v>
      </c>
    </row>
    <row r="39" spans="4:7" x14ac:dyDescent="0.3">
      <c r="D39">
        <v>7</v>
      </c>
      <c r="E39" s="2" t="s">
        <v>21</v>
      </c>
      <c r="F39" s="3">
        <v>4.05</v>
      </c>
      <c r="G39">
        <v>4072</v>
      </c>
    </row>
    <row r="40" spans="4:7" x14ac:dyDescent="0.3">
      <c r="D40">
        <v>8</v>
      </c>
      <c r="E40" s="2" t="s">
        <v>17</v>
      </c>
      <c r="F40" s="3">
        <v>4.95</v>
      </c>
      <c r="G40">
        <v>3054</v>
      </c>
    </row>
    <row r="41" spans="4:7" x14ac:dyDescent="0.3">
      <c r="D41">
        <v>9</v>
      </c>
      <c r="E41" s="2" t="s">
        <v>18</v>
      </c>
      <c r="F41" s="3">
        <v>5.65</v>
      </c>
      <c r="G41">
        <v>2036</v>
      </c>
    </row>
    <row r="42" spans="4:7" x14ac:dyDescent="0.3">
      <c r="D42">
        <v>10</v>
      </c>
      <c r="E42" s="2" t="s">
        <v>22</v>
      </c>
      <c r="F42" s="3">
        <v>6.7</v>
      </c>
      <c r="G42">
        <v>1636</v>
      </c>
    </row>
    <row r="43" spans="4:7" x14ac:dyDescent="0.3">
      <c r="D43">
        <v>11</v>
      </c>
      <c r="E43" s="2">
        <v>7.15</v>
      </c>
      <c r="F43" s="3">
        <v>7.15</v>
      </c>
      <c r="G43">
        <v>1018</v>
      </c>
    </row>
    <row r="44" spans="4:7" x14ac:dyDescent="0.3">
      <c r="D44">
        <v>12</v>
      </c>
      <c r="E44" s="2" t="s">
        <v>39</v>
      </c>
      <c r="F44" s="3">
        <v>7.9</v>
      </c>
      <c r="G44">
        <v>501</v>
      </c>
    </row>
    <row r="45" spans="4:7" x14ac:dyDescent="0.3">
      <c r="D45">
        <v>13</v>
      </c>
      <c r="E45" s="2" t="s">
        <v>40</v>
      </c>
      <c r="F45" s="3">
        <v>8.5500000000000007</v>
      </c>
      <c r="G45">
        <v>396</v>
      </c>
    </row>
    <row r="46" spans="4:7" x14ac:dyDescent="0.3">
      <c r="D46">
        <v>14</v>
      </c>
      <c r="E46" s="2" t="s">
        <v>41</v>
      </c>
      <c r="F46" s="3">
        <v>9</v>
      </c>
      <c r="G46">
        <v>344</v>
      </c>
    </row>
    <row r="47" spans="4:7" x14ac:dyDescent="0.3">
      <c r="D47">
        <v>15</v>
      </c>
      <c r="E47" s="2" t="s">
        <v>42</v>
      </c>
      <c r="F47" s="3">
        <v>9.6</v>
      </c>
      <c r="G47">
        <v>298</v>
      </c>
    </row>
    <row r="48" spans="4:7" x14ac:dyDescent="0.3">
      <c r="D48">
        <v>16</v>
      </c>
      <c r="E48" s="2" t="s">
        <v>43</v>
      </c>
      <c r="F48" s="3">
        <v>10.199999999999999</v>
      </c>
      <c r="G48">
        <v>220</v>
      </c>
    </row>
    <row r="49" spans="4:7" x14ac:dyDescent="0.3">
      <c r="D49">
        <v>17</v>
      </c>
      <c r="E49" s="2">
        <v>10.85</v>
      </c>
      <c r="F49" s="3">
        <v>10.85</v>
      </c>
      <c r="G49">
        <v>201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76D2-4B31-4487-AD35-97546D87CC58}">
  <dimension ref="C5:E23"/>
  <sheetViews>
    <sheetView workbookViewId="0">
      <selection activeCell="E1" sqref="E1"/>
    </sheetView>
  </sheetViews>
  <sheetFormatPr defaultRowHeight="14.4" x14ac:dyDescent="0.3"/>
  <cols>
    <col min="4" max="4" width="19.44140625" customWidth="1"/>
    <col min="5" max="5" width="17.88671875" customWidth="1"/>
  </cols>
  <sheetData>
    <row r="5" spans="3:5" ht="28.8" x14ac:dyDescent="0.3">
      <c r="C5" s="1"/>
      <c r="D5" s="1"/>
      <c r="E5" s="1" t="s">
        <v>23</v>
      </c>
    </row>
    <row r="6" spans="3:5" ht="28.8" x14ac:dyDescent="0.3">
      <c r="C6" s="1" t="s">
        <v>10</v>
      </c>
      <c r="D6" s="1" t="s">
        <v>12</v>
      </c>
      <c r="E6" s="1" t="s">
        <v>25</v>
      </c>
    </row>
    <row r="7" spans="3:5" x14ac:dyDescent="0.3">
      <c r="C7">
        <v>1</v>
      </c>
      <c r="D7">
        <v>2.2999999999999998</v>
      </c>
      <c r="E7">
        <v>12216</v>
      </c>
    </row>
    <row r="8" spans="3:5" x14ac:dyDescent="0.3">
      <c r="C8">
        <v>2</v>
      </c>
      <c r="D8">
        <v>2.6</v>
      </c>
      <c r="E8">
        <v>11198</v>
      </c>
    </row>
    <row r="9" spans="3:5" x14ac:dyDescent="0.3">
      <c r="C9">
        <v>3</v>
      </c>
      <c r="D9">
        <v>2.7</v>
      </c>
      <c r="E9">
        <v>10180</v>
      </c>
    </row>
    <row r="10" spans="3:5" x14ac:dyDescent="0.3">
      <c r="C10">
        <v>4</v>
      </c>
      <c r="D10" s="3">
        <v>2.85</v>
      </c>
      <c r="E10">
        <v>9162</v>
      </c>
    </row>
    <row r="11" spans="3:5" x14ac:dyDescent="0.3">
      <c r="C11">
        <v>5</v>
      </c>
      <c r="D11" s="3">
        <v>3.05</v>
      </c>
      <c r="E11">
        <v>8144</v>
      </c>
    </row>
    <row r="12" spans="3:5" x14ac:dyDescent="0.3">
      <c r="C12">
        <v>6</v>
      </c>
      <c r="D12" s="3">
        <v>3.6</v>
      </c>
      <c r="E12">
        <v>7126</v>
      </c>
    </row>
    <row r="13" spans="3:5" x14ac:dyDescent="0.3">
      <c r="C13">
        <v>7</v>
      </c>
      <c r="D13" s="3">
        <v>4.05</v>
      </c>
      <c r="E13">
        <v>6108</v>
      </c>
    </row>
    <row r="14" spans="3:5" x14ac:dyDescent="0.3">
      <c r="C14">
        <v>8</v>
      </c>
      <c r="D14" s="3">
        <v>4.95</v>
      </c>
      <c r="E14">
        <v>5090</v>
      </c>
    </row>
    <row r="15" spans="3:5" x14ac:dyDescent="0.3">
      <c r="C15">
        <v>9</v>
      </c>
      <c r="D15" s="3">
        <v>5.65</v>
      </c>
      <c r="E15">
        <v>4072</v>
      </c>
    </row>
    <row r="16" spans="3:5" x14ac:dyDescent="0.3">
      <c r="C16">
        <v>10</v>
      </c>
      <c r="D16" s="3">
        <v>6.7</v>
      </c>
      <c r="E16">
        <v>3054</v>
      </c>
    </row>
    <row r="17" spans="3:5" x14ac:dyDescent="0.3">
      <c r="C17">
        <v>11</v>
      </c>
      <c r="D17" s="3">
        <v>7.15</v>
      </c>
      <c r="E17">
        <v>2036</v>
      </c>
    </row>
    <row r="18" spans="3:5" x14ac:dyDescent="0.3">
      <c r="C18">
        <v>12</v>
      </c>
      <c r="D18" s="3">
        <v>7.9</v>
      </c>
      <c r="E18">
        <v>1636</v>
      </c>
    </row>
    <row r="19" spans="3:5" x14ac:dyDescent="0.3">
      <c r="C19">
        <v>13</v>
      </c>
      <c r="D19" s="3">
        <v>8.5500000000000007</v>
      </c>
      <c r="E19">
        <v>1018</v>
      </c>
    </row>
    <row r="20" spans="3:5" x14ac:dyDescent="0.3">
      <c r="C20">
        <v>14</v>
      </c>
      <c r="D20" s="3">
        <v>9</v>
      </c>
      <c r="E20">
        <v>501</v>
      </c>
    </row>
    <row r="21" spans="3:5" x14ac:dyDescent="0.3">
      <c r="C21">
        <v>15</v>
      </c>
      <c r="D21" s="3">
        <v>9.6</v>
      </c>
      <c r="E21">
        <v>396</v>
      </c>
    </row>
    <row r="22" spans="3:5" x14ac:dyDescent="0.3">
      <c r="C22">
        <v>16</v>
      </c>
      <c r="D22" s="3">
        <v>10.199999999999999</v>
      </c>
      <c r="E22">
        <v>344</v>
      </c>
    </row>
    <row r="23" spans="3:5" x14ac:dyDescent="0.3">
      <c r="C23">
        <v>17</v>
      </c>
      <c r="D23" s="3">
        <v>10.85</v>
      </c>
      <c r="E23">
        <v>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20261007</vt:lpstr>
      <vt:lpstr>draft - 20261006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ctgrey@student.ubc.ca</dc:creator>
  <cp:lastModifiedBy>ctgrey@student.ubc.ca</cp:lastModifiedBy>
  <dcterms:created xsi:type="dcterms:W3CDTF">2026-10-07T05:14:04Z</dcterms:created>
  <dcterms:modified xsi:type="dcterms:W3CDTF">2026-10-08T06:06:00Z</dcterms:modified>
</cp:coreProperties>
</file>